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01E0F6E7-169B-426D-AC41-034BF884A0AB}" xr6:coauthVersionLast="47" xr6:coauthVersionMax="47" xr10:uidLastSave="{00000000-0000-0000-0000-000000000000}"/>
  <bookViews>
    <workbookView xWindow="13788" yWindow="0" windowWidth="9240" windowHeight="11712" firstSheet="1" activeTab="2" xr2:uid="{C5CD9D0F-68FF-4471-AD64-859B71F925D9}"/>
  </bookViews>
  <sheets>
    <sheet name="Sheet1" sheetId="1" r:id="rId1"/>
    <sheet name="Sheet2" sheetId="2" r:id="rId2"/>
    <sheet name="paste special" sheetId="3" r:id="rId3"/>
  </sheets>
  <definedNames>
    <definedName name="_xlcn.WorksheetConnection_Table41" hidden="1">Table4[]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3" l="1" a="1"/>
  <c r="P16" i="3" s="1"/>
  <c r="Q15" i="3"/>
  <c r="R15" i="3"/>
  <c r="S15" i="3"/>
  <c r="T15" i="3"/>
  <c r="U15" i="3"/>
  <c r="P15" i="3"/>
  <c r="D15" i="2"/>
  <c r="D12" i="2"/>
  <c r="D8" i="2"/>
  <c r="D5" i="2"/>
  <c r="N30" i="1"/>
  <c r="N33" i="1"/>
  <c r="D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Yash Sharma</author>
  </authors>
  <commentList>
    <comment ref="B6" authorId="0" shapeId="0" xr:uid="{3A0FA256-D051-419A-97E6-749F89EFD6D6}">
      <text>
        <r>
          <rPr>
            <b/>
            <sz val="9"/>
            <color indexed="81"/>
            <rFont val="Tahoma"/>
            <charset val="1"/>
          </rPr>
          <t>Yash Sharma:</t>
        </r>
        <r>
          <rPr>
            <sz val="9"/>
            <color indexed="81"/>
            <rFont val="Tahoma"/>
            <charset val="1"/>
          </rPr>
          <t xml:space="preserve">
no good perfiormance
</t>
        </r>
      </text>
    </comment>
    <comment ref="B10" authorId="0" shapeId="0" xr:uid="{875894B4-0743-488B-846A-6753351A933A}">
      <text>
        <r>
          <rPr>
            <b/>
            <sz val="9"/>
            <color indexed="81"/>
            <rFont val="Tahoma"/>
            <charset val="1"/>
          </rPr>
          <t>Yash Sharma:</t>
        </r>
        <r>
          <rPr>
            <sz val="9"/>
            <color indexed="81"/>
            <rFont val="Tahoma"/>
            <charset val="1"/>
          </rPr>
          <t xml:space="preserve">
bad performance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18296-8FFB-47CE-88AF-F75565158F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D54ED8-4FAE-4150-B4C2-AE97F38CF05B}" name="WorksheetConnection_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Table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<sst xmlns="http://schemas.openxmlformats.org/spreadsheetml/2006/main" count="458" uniqueCount="119">
  <si>
    <t>Emp ID</t>
  </si>
  <si>
    <t>Name</t>
  </si>
  <si>
    <t>Department</t>
  </si>
  <si>
    <t>Age</t>
  </si>
  <si>
    <t>Salary</t>
  </si>
  <si>
    <t>Experience (Years)</t>
  </si>
  <si>
    <t>City</t>
  </si>
  <si>
    <t>Performance</t>
  </si>
  <si>
    <t>E001</t>
  </si>
  <si>
    <t>Rahul</t>
  </si>
  <si>
    <t>IT</t>
  </si>
  <si>
    <t>Delhi</t>
  </si>
  <si>
    <t>Good</t>
  </si>
  <si>
    <t>E002</t>
  </si>
  <si>
    <t>Priya</t>
  </si>
  <si>
    <t>HR</t>
  </si>
  <si>
    <t>Mumbai</t>
  </si>
  <si>
    <t>Excellent</t>
  </si>
  <si>
    <t>E003</t>
  </si>
  <si>
    <t>Amit</t>
  </si>
  <si>
    <t>Finance</t>
  </si>
  <si>
    <t>Pune</t>
  </si>
  <si>
    <t>E004</t>
  </si>
  <si>
    <t>Neha</t>
  </si>
  <si>
    <t>Marketing</t>
  </si>
  <si>
    <t>Average</t>
  </si>
  <si>
    <t>E005</t>
  </si>
  <si>
    <t>Arjun</t>
  </si>
  <si>
    <t>Bangalore</t>
  </si>
  <si>
    <t>E006</t>
  </si>
  <si>
    <t>Simran</t>
  </si>
  <si>
    <t>Chandigarh</t>
  </si>
  <si>
    <t>E007</t>
  </si>
  <si>
    <t>Karan</t>
  </si>
  <si>
    <t>Jaipur</t>
  </si>
  <si>
    <t>E008</t>
  </si>
  <si>
    <t>Riya</t>
  </si>
  <si>
    <t>E009</t>
  </si>
  <si>
    <t>Mohit</t>
  </si>
  <si>
    <t>Noida</t>
  </si>
  <si>
    <t>E010</t>
  </si>
  <si>
    <t>Anjali</t>
  </si>
  <si>
    <t>E011</t>
  </si>
  <si>
    <t>Deepak</t>
  </si>
  <si>
    <t>Lucknow</t>
  </si>
  <si>
    <t>E012</t>
  </si>
  <si>
    <t>Pooja</t>
  </si>
  <si>
    <t>E013</t>
  </si>
  <si>
    <t>Vikas</t>
  </si>
  <si>
    <t>Gurgaon</t>
  </si>
  <si>
    <t>E014</t>
  </si>
  <si>
    <t>Sneha</t>
  </si>
  <si>
    <t>E015</t>
  </si>
  <si>
    <t>Rohit</t>
  </si>
  <si>
    <t>E016</t>
  </si>
  <si>
    <t>Kavya</t>
  </si>
  <si>
    <t>E017</t>
  </si>
  <si>
    <t>Sachin</t>
  </si>
  <si>
    <t>E018</t>
  </si>
  <si>
    <t>Meera</t>
  </si>
  <si>
    <t>E019</t>
  </si>
  <si>
    <t>Aditya</t>
  </si>
  <si>
    <t>E020</t>
  </si>
  <si>
    <t>Tanya</t>
  </si>
  <si>
    <t>E021</t>
  </si>
  <si>
    <t>Nitin</t>
  </si>
  <si>
    <t>E022</t>
  </si>
  <si>
    <t>Shreya</t>
  </si>
  <si>
    <t>E023</t>
  </si>
  <si>
    <t>Manish</t>
  </si>
  <si>
    <t>E024</t>
  </si>
  <si>
    <t>Isha</t>
  </si>
  <si>
    <t>E025</t>
  </si>
  <si>
    <t>Varun</t>
  </si>
  <si>
    <t>E026</t>
  </si>
  <si>
    <t>Aarti</t>
  </si>
  <si>
    <t>E027</t>
  </si>
  <si>
    <t>Akash</t>
  </si>
  <si>
    <t>E028</t>
  </si>
  <si>
    <t>Nidhi</t>
  </si>
  <si>
    <t>E029</t>
  </si>
  <si>
    <t>Harsh</t>
  </si>
  <si>
    <t>E030</t>
  </si>
  <si>
    <t>Payal</t>
  </si>
  <si>
    <t>Table</t>
  </si>
  <si>
    <t>Rate</t>
  </si>
  <si>
    <t>presedence</t>
  </si>
  <si>
    <t xml:space="preserve"> </t>
  </si>
  <si>
    <t>Experience</t>
  </si>
  <si>
    <t>Grand Total</t>
  </si>
  <si>
    <t>Finance Total</t>
  </si>
  <si>
    <t>HR Total</t>
  </si>
  <si>
    <t>IT Total</t>
  </si>
  <si>
    <t>Marketing Total</t>
  </si>
  <si>
    <t>Order ID</t>
  </si>
  <si>
    <t>Product</t>
  </si>
  <si>
    <t>Quantity</t>
  </si>
  <si>
    <t>Price</t>
  </si>
  <si>
    <t>Salesperson</t>
  </si>
  <si>
    <t>O001</t>
  </si>
  <si>
    <t>Laptop</t>
  </si>
  <si>
    <t>O002</t>
  </si>
  <si>
    <t>Mouse</t>
  </si>
  <si>
    <t>O003</t>
  </si>
  <si>
    <t>Keyboard</t>
  </si>
  <si>
    <t>O004</t>
  </si>
  <si>
    <t>Monitor</t>
  </si>
  <si>
    <t>O005</t>
  </si>
  <si>
    <t>Printer</t>
  </si>
  <si>
    <t>O006</t>
  </si>
  <si>
    <t>Webcam</t>
  </si>
  <si>
    <t>O007</t>
  </si>
  <si>
    <t>Headphones</t>
  </si>
  <si>
    <t>O008</t>
  </si>
  <si>
    <t>Speaker</t>
  </si>
  <si>
    <t>O009</t>
  </si>
  <si>
    <t>SSD</t>
  </si>
  <si>
    <t>O010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</si>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</sst>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</cellXfs>
  <cellStyles count="1">
    <cellStyle name="Normal" xfId="0" builtinId="0"/>
  </cellStyles>
  <dxfs count="2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</xdr:colOff>
      <xdr:row>31</xdr:row>
      <xdr:rowOff>15240</xdr:rowOff>
    </xdr:from>
    <xdr:to>
      <xdr:col>13</xdr:col>
      <xdr:colOff>495300</xdr:colOff>
      <xdr:row>45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5EB62-12C4-B8A7-74F3-1F267001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7147560"/>
          <a:ext cx="414528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EFC9A-6AA9-4BE8-B955-AC85ED9700B0}" name="Table1" displayName="Table1" ref="A1:F11" totalsRowShown="0" headerRowDxfId="21" dataDxfId="22">
  <tableColumns count="6">
    <tableColumn id="1" xr3:uid="{C799BE1A-A2D3-47BC-BA5B-1E6F67819986}" name="Order ID" dataDxfId="28"/>
    <tableColumn id="2" xr3:uid="{835F99E8-2911-42CC-AFFC-340A1DFC1F20}" name="Product" dataDxfId="27"/>
    <tableColumn id="3" xr3:uid="{D5E1CA43-D522-4226-8E94-A7F4594AEE9F}" name="Quantity" dataDxfId="26"/>
    <tableColumn id="4" xr3:uid="{01C3BCC6-A033-4E27-A10B-FD792B17B3A8}" name="Price" dataDxfId="25"/>
    <tableColumn id="5" xr3:uid="{E7C6B2DE-4D3C-43EB-B4FD-44EBDBC9DE12}" name="Salesperson" dataDxfId="24"/>
    <tableColumn id="6" xr3:uid="{337455F8-96FC-4036-8F06-0074667C07B9}" name="City" dataDxfId="2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033450-D6FB-453C-92AD-EF83BF88AFC6}" name="Table14" displayName="Table14" ref="P1:U11" totalsRowShown="0" headerRowDxfId="20" dataDxfId="19">
  <autoFilter ref="P1:U11" xr:uid="{84033450-D6FB-453C-92AD-EF83BF88AFC6}"/>
  <tableColumns count="6">
    <tableColumn id="1" xr3:uid="{B128034D-D79B-47E2-AC27-6035F43AEBB4}" name="Order ID" dataDxfId="18"/>
    <tableColumn id="2" xr3:uid="{A65C4C1E-84D8-4F55-9303-86CADE985765}" name="Product" dataDxfId="17"/>
    <tableColumn id="3" xr3:uid="{F1A17305-E09E-48D0-B0FA-5F3B0B91368D}" name="Quantity" dataDxfId="16"/>
    <tableColumn id="4" xr3:uid="{B76DDC5F-A7E4-40D2-BE6D-75D9AFA3723B}" name="Price" dataDxfId="15"/>
    <tableColumn id="5" xr3:uid="{C7386B28-3D3D-4FB5-8BFE-AB4160344006}" name="Salesperson" dataDxfId="14"/>
    <tableColumn id="6" xr3:uid="{08E313AA-AB15-476B-8391-C123DFC36D89}" name="City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A91D49-08BC-4F28-ADD4-7F00903BB3B5}" name="Table4" displayName="Table4" ref="A14:K19" totalsRowShown="0" headerRowDxfId="0" dataDxfId="1">
  <tableColumns count="11">
    <tableColumn id="1" xr3:uid="{967DFA79-3E48-4D8E-9E13-259965F1585D}" name="Order ID" dataDxfId="12"/>
    <tableColumn id="2" xr3:uid="{E7BBA860-97DE-4077-858A-CBF218C68A4F}" name="O001" dataDxfId="11"/>
    <tableColumn id="3" xr3:uid="{1FF370A7-B09E-4132-B7A1-E39C2683D9C6}" name="O002" dataDxfId="10"/>
    <tableColumn id="4" xr3:uid="{E7C7B5BA-31CC-4826-8E07-EEE4C3DDF776}" name="O003" dataDxfId="9"/>
    <tableColumn id="5" xr3:uid="{2486F713-2D25-4A77-9F41-B22BBEEA67F5}" name="O004" dataDxfId="8"/>
    <tableColumn id="6" xr3:uid="{4FF8B589-96CD-4136-83AF-47D90E0F4A6C}" name="O005" dataDxfId="7"/>
    <tableColumn id="7" xr3:uid="{F33D2861-53E0-48E9-B55E-CA3DD2E97E6A}" name="O006" dataDxfId="6"/>
    <tableColumn id="8" xr3:uid="{75078063-5DA2-4351-9337-7AC97765C3CC}" name="O007" dataDxfId="5"/>
    <tableColumn id="9" xr3:uid="{4FF270A7-E061-4EBA-91F5-7BB470E1CEFE}" name="O008" dataDxfId="4"/>
    <tableColumn id="10" xr3:uid="{734EF73F-04D3-45D1-9497-BB3F8DC3B519}" name="O009" dataDxfId="3"/>
    <tableColumn id="11" xr3:uid="{28E04573-1E3D-408B-AA72-FB55A303492E}" name="O01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006F-5A88-43BF-889E-E0651FEAC313}">
  <dimension ref="A1:S35"/>
  <sheetViews>
    <sheetView zoomScale="126" zoomScaleNormal="126" workbookViewId="0">
      <selection activeCell="K24" sqref="K24"/>
    </sheetView>
  </sheetViews>
  <sheetFormatPr defaultRowHeight="14.4" x14ac:dyDescent="0.3"/>
  <cols>
    <col min="1" max="1" width="6.88671875" bestFit="1" customWidth="1"/>
    <col min="2" max="2" width="7.33203125" bestFit="1" customWidth="1"/>
    <col min="3" max="3" width="11" bestFit="1" customWidth="1"/>
    <col min="4" max="4" width="4.109375" bestFit="1" customWidth="1"/>
    <col min="5" max="5" width="6.109375" bestFit="1" customWidth="1"/>
    <col min="6" max="6" width="16.88671875" bestFit="1" customWidth="1"/>
    <col min="7" max="7" width="10.5546875" bestFit="1" customWidth="1"/>
    <col min="8" max="8" width="11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84</v>
      </c>
    </row>
    <row r="2" spans="1:19" x14ac:dyDescent="0.3">
      <c r="A2" t="s">
        <v>8</v>
      </c>
      <c r="B2" t="s">
        <v>9</v>
      </c>
      <c r="C2" t="s">
        <v>10</v>
      </c>
      <c r="D2">
        <v>25</v>
      </c>
      <c r="E2">
        <v>35000</v>
      </c>
      <c r="F2">
        <v>2</v>
      </c>
      <c r="G2" t="s">
        <v>11</v>
      </c>
      <c r="H2" t="s">
        <v>12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</row>
    <row r="3" spans="1:19" x14ac:dyDescent="0.3">
      <c r="A3" t="s">
        <v>13</v>
      </c>
      <c r="B3" t="s">
        <v>14</v>
      </c>
      <c r="C3" t="s">
        <v>15</v>
      </c>
      <c r="D3">
        <v>28</v>
      </c>
      <c r="E3">
        <v>42000</v>
      </c>
      <c r="F3">
        <v>4</v>
      </c>
      <c r="G3" t="s">
        <v>16</v>
      </c>
      <c r="H3" t="s">
        <v>17</v>
      </c>
      <c r="J3">
        <v>2</v>
      </c>
      <c r="K3">
        <v>4</v>
      </c>
      <c r="L3">
        <v>6</v>
      </c>
      <c r="M3">
        <v>8</v>
      </c>
      <c r="N3">
        <v>10</v>
      </c>
      <c r="O3">
        <v>12</v>
      </c>
      <c r="P3">
        <v>14</v>
      </c>
      <c r="Q3">
        <v>16</v>
      </c>
      <c r="R3">
        <v>18</v>
      </c>
      <c r="S3">
        <v>20</v>
      </c>
    </row>
    <row r="4" spans="1:19" x14ac:dyDescent="0.3">
      <c r="A4" t="s">
        <v>18</v>
      </c>
      <c r="B4" t="s">
        <v>19</v>
      </c>
      <c r="C4" t="s">
        <v>20</v>
      </c>
      <c r="D4">
        <v>30</v>
      </c>
      <c r="E4">
        <v>50000</v>
      </c>
      <c r="F4">
        <v>6</v>
      </c>
      <c r="G4" t="s">
        <v>21</v>
      </c>
      <c r="H4" t="s">
        <v>12</v>
      </c>
      <c r="J4">
        <v>3</v>
      </c>
      <c r="K4">
        <v>6</v>
      </c>
      <c r="L4">
        <v>9</v>
      </c>
      <c r="M4">
        <v>12</v>
      </c>
      <c r="N4">
        <v>15</v>
      </c>
      <c r="O4">
        <v>18</v>
      </c>
      <c r="P4">
        <v>21</v>
      </c>
      <c r="Q4">
        <v>24</v>
      </c>
      <c r="R4">
        <v>27</v>
      </c>
      <c r="S4">
        <v>30</v>
      </c>
    </row>
    <row r="5" spans="1:19" x14ac:dyDescent="0.3">
      <c r="A5" t="s">
        <v>22</v>
      </c>
      <c r="B5" t="s">
        <v>23</v>
      </c>
      <c r="C5" t="s">
        <v>24</v>
      </c>
      <c r="D5">
        <v>24</v>
      </c>
      <c r="E5">
        <v>32000</v>
      </c>
      <c r="F5">
        <v>1</v>
      </c>
      <c r="G5" t="s">
        <v>11</v>
      </c>
      <c r="H5" t="s">
        <v>25</v>
      </c>
      <c r="J5">
        <v>4</v>
      </c>
      <c r="K5">
        <v>8</v>
      </c>
      <c r="L5">
        <v>12</v>
      </c>
      <c r="M5">
        <v>16</v>
      </c>
      <c r="N5">
        <v>20</v>
      </c>
      <c r="O5">
        <v>24</v>
      </c>
      <c r="P5">
        <v>28</v>
      </c>
      <c r="Q5">
        <v>32</v>
      </c>
      <c r="R5">
        <v>36</v>
      </c>
      <c r="S5">
        <v>40</v>
      </c>
    </row>
    <row r="6" spans="1:19" x14ac:dyDescent="0.3">
      <c r="A6" t="s">
        <v>26</v>
      </c>
      <c r="B6" s="1" t="s">
        <v>27</v>
      </c>
      <c r="C6" t="s">
        <v>10</v>
      </c>
      <c r="D6">
        <v>35</v>
      </c>
      <c r="E6">
        <v>65000</v>
      </c>
      <c r="F6">
        <v>10</v>
      </c>
      <c r="G6" t="s">
        <v>28</v>
      </c>
      <c r="H6" t="s">
        <v>17</v>
      </c>
      <c r="J6">
        <v>5</v>
      </c>
      <c r="K6">
        <v>10</v>
      </c>
      <c r="L6">
        <v>15</v>
      </c>
      <c r="M6">
        <v>20</v>
      </c>
      <c r="N6">
        <v>25</v>
      </c>
      <c r="O6">
        <v>30</v>
      </c>
      <c r="P6">
        <v>35</v>
      </c>
      <c r="Q6">
        <v>40</v>
      </c>
      <c r="R6">
        <v>45</v>
      </c>
      <c r="S6">
        <v>50</v>
      </c>
    </row>
    <row r="7" spans="1:19" x14ac:dyDescent="0.3">
      <c r="A7" t="s">
        <v>29</v>
      </c>
      <c r="B7" t="s">
        <v>30</v>
      </c>
      <c r="C7" t="s">
        <v>15</v>
      </c>
      <c r="D7">
        <v>27</v>
      </c>
      <c r="E7">
        <v>40000</v>
      </c>
      <c r="F7">
        <v>3</v>
      </c>
      <c r="G7" t="s">
        <v>31</v>
      </c>
      <c r="H7" t="s">
        <v>12</v>
      </c>
      <c r="J7">
        <v>6</v>
      </c>
      <c r="K7">
        <v>12</v>
      </c>
      <c r="L7">
        <v>18</v>
      </c>
      <c r="M7">
        <v>24</v>
      </c>
      <c r="N7">
        <v>30</v>
      </c>
      <c r="O7">
        <v>36</v>
      </c>
      <c r="P7">
        <v>42</v>
      </c>
      <c r="Q7">
        <v>48</v>
      </c>
      <c r="R7">
        <v>54</v>
      </c>
      <c r="S7">
        <v>60</v>
      </c>
    </row>
    <row r="8" spans="1:19" x14ac:dyDescent="0.3">
      <c r="A8" t="s">
        <v>32</v>
      </c>
      <c r="B8" t="s">
        <v>33</v>
      </c>
      <c r="C8" t="s">
        <v>20</v>
      </c>
      <c r="D8">
        <v>32</v>
      </c>
      <c r="E8">
        <v>55000</v>
      </c>
      <c r="F8">
        <v>7</v>
      </c>
      <c r="G8" t="s">
        <v>34</v>
      </c>
      <c r="H8" t="s">
        <v>17</v>
      </c>
      <c r="J8">
        <v>7</v>
      </c>
      <c r="K8">
        <v>14</v>
      </c>
      <c r="L8">
        <v>21</v>
      </c>
      <c r="M8">
        <v>28</v>
      </c>
      <c r="N8">
        <v>35</v>
      </c>
      <c r="O8">
        <v>42</v>
      </c>
      <c r="P8">
        <v>49</v>
      </c>
      <c r="Q8">
        <v>56</v>
      </c>
      <c r="R8">
        <v>63</v>
      </c>
      <c r="S8">
        <v>70</v>
      </c>
    </row>
    <row r="9" spans="1:19" x14ac:dyDescent="0.3">
      <c r="A9" t="s">
        <v>35</v>
      </c>
      <c r="B9" t="s">
        <v>36</v>
      </c>
      <c r="C9" t="s">
        <v>24</v>
      </c>
      <c r="D9">
        <v>26</v>
      </c>
      <c r="E9">
        <v>37000</v>
      </c>
      <c r="F9">
        <v>2</v>
      </c>
      <c r="G9" t="s">
        <v>11</v>
      </c>
      <c r="H9" t="s">
        <v>25</v>
      </c>
      <c r="J9">
        <v>8</v>
      </c>
      <c r="K9">
        <v>16</v>
      </c>
      <c r="L9">
        <v>24</v>
      </c>
      <c r="M9">
        <v>32</v>
      </c>
      <c r="N9">
        <v>40</v>
      </c>
      <c r="O9">
        <v>48</v>
      </c>
      <c r="P9">
        <v>56</v>
      </c>
      <c r="Q9">
        <v>64</v>
      </c>
      <c r="R9">
        <v>72</v>
      </c>
      <c r="S9">
        <v>80</v>
      </c>
    </row>
    <row r="10" spans="1:19" x14ac:dyDescent="0.3">
      <c r="A10" t="s">
        <v>37</v>
      </c>
      <c r="B10" s="1" t="s">
        <v>38</v>
      </c>
      <c r="C10" t="s">
        <v>10</v>
      </c>
      <c r="D10">
        <v>29</v>
      </c>
      <c r="E10">
        <v>48000</v>
      </c>
      <c r="G10" t="s">
        <v>39</v>
      </c>
      <c r="H10" t="s">
        <v>12</v>
      </c>
      <c r="J10">
        <v>9</v>
      </c>
      <c r="K10">
        <v>18</v>
      </c>
      <c r="L10">
        <v>27</v>
      </c>
      <c r="M10">
        <v>36</v>
      </c>
      <c r="N10">
        <v>45</v>
      </c>
      <c r="O10">
        <v>54</v>
      </c>
      <c r="P10">
        <v>63</v>
      </c>
      <c r="Q10">
        <v>72</v>
      </c>
      <c r="R10">
        <v>81</v>
      </c>
      <c r="S10">
        <v>90</v>
      </c>
    </row>
    <row r="11" spans="1:19" x14ac:dyDescent="0.3">
      <c r="A11" t="s">
        <v>40</v>
      </c>
      <c r="B11" t="s">
        <v>41</v>
      </c>
      <c r="C11" t="s">
        <v>20</v>
      </c>
      <c r="D11">
        <v>31</v>
      </c>
      <c r="E11">
        <v>58000</v>
      </c>
      <c r="F11">
        <v>8</v>
      </c>
      <c r="G11" t="s">
        <v>16</v>
      </c>
      <c r="H11" t="s">
        <v>17</v>
      </c>
      <c r="J11">
        <v>10</v>
      </c>
      <c r="K11">
        <v>20</v>
      </c>
      <c r="L11">
        <v>30</v>
      </c>
      <c r="M11">
        <v>40</v>
      </c>
      <c r="N11">
        <v>50</v>
      </c>
      <c r="O11">
        <v>60</v>
      </c>
      <c r="P11">
        <v>70</v>
      </c>
      <c r="Q11">
        <v>80</v>
      </c>
      <c r="R11">
        <v>90</v>
      </c>
      <c r="S11">
        <v>100</v>
      </c>
    </row>
    <row r="12" spans="1:19" x14ac:dyDescent="0.3">
      <c r="A12" t="s">
        <v>42</v>
      </c>
      <c r="B12" t="s">
        <v>43</v>
      </c>
      <c r="C12" t="s">
        <v>15</v>
      </c>
      <c r="D12">
        <v>23</v>
      </c>
      <c r="E12">
        <v>30000</v>
      </c>
      <c r="F12">
        <v>1</v>
      </c>
      <c r="G12" t="s">
        <v>44</v>
      </c>
      <c r="H12" t="s">
        <v>25</v>
      </c>
    </row>
    <row r="13" spans="1:19" x14ac:dyDescent="0.3">
      <c r="A13" t="s">
        <v>45</v>
      </c>
      <c r="B13" t="s">
        <v>46</v>
      </c>
      <c r="C13" t="s">
        <v>24</v>
      </c>
      <c r="D13">
        <v>34</v>
      </c>
      <c r="E13">
        <v>60000</v>
      </c>
      <c r="F13">
        <v>9</v>
      </c>
      <c r="G13" t="s">
        <v>11</v>
      </c>
      <c r="H13" t="s">
        <v>17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</row>
    <row r="14" spans="1:19" x14ac:dyDescent="0.3">
      <c r="A14" t="s">
        <v>47</v>
      </c>
      <c r="B14" t="s">
        <v>48</v>
      </c>
      <c r="C14" t="s">
        <v>10</v>
      </c>
      <c r="D14">
        <v>28</v>
      </c>
      <c r="E14">
        <v>45000</v>
      </c>
      <c r="F14">
        <v>4</v>
      </c>
      <c r="G14" t="s">
        <v>49</v>
      </c>
      <c r="H14" t="s">
        <v>12</v>
      </c>
      <c r="J14">
        <v>45</v>
      </c>
      <c r="K14">
        <v>45</v>
      </c>
      <c r="L14">
        <v>45</v>
      </c>
      <c r="M14">
        <v>45</v>
      </c>
      <c r="N14">
        <v>45</v>
      </c>
      <c r="O14">
        <v>45</v>
      </c>
      <c r="P14">
        <v>45</v>
      </c>
      <c r="Q14">
        <v>45</v>
      </c>
    </row>
    <row r="15" spans="1:19" x14ac:dyDescent="0.3">
      <c r="A15" t="s">
        <v>50</v>
      </c>
      <c r="B15" t="s">
        <v>51</v>
      </c>
      <c r="C15" t="s">
        <v>15</v>
      </c>
      <c r="D15">
        <v>29</v>
      </c>
      <c r="E15">
        <v>43000</v>
      </c>
      <c r="F15">
        <v>5</v>
      </c>
      <c r="G15" t="s">
        <v>21</v>
      </c>
      <c r="H15" t="s">
        <v>12</v>
      </c>
      <c r="J15">
        <v>98</v>
      </c>
      <c r="K15">
        <v>98</v>
      </c>
      <c r="L15">
        <v>98</v>
      </c>
      <c r="M15">
        <v>98</v>
      </c>
      <c r="N15" s="3">
        <v>65</v>
      </c>
      <c r="O15">
        <v>98</v>
      </c>
      <c r="P15">
        <v>98</v>
      </c>
      <c r="Q15">
        <v>98</v>
      </c>
    </row>
    <row r="16" spans="1:19" x14ac:dyDescent="0.3">
      <c r="A16" t="s">
        <v>52</v>
      </c>
      <c r="B16" t="s">
        <v>53</v>
      </c>
      <c r="C16" t="s">
        <v>20</v>
      </c>
      <c r="D16">
        <v>33</v>
      </c>
      <c r="E16">
        <v>62000</v>
      </c>
      <c r="F16">
        <v>8</v>
      </c>
      <c r="G16" t="s">
        <v>11</v>
      </c>
      <c r="H16" t="s">
        <v>17</v>
      </c>
      <c r="J16">
        <v>50</v>
      </c>
      <c r="K16">
        <v>50</v>
      </c>
      <c r="L16">
        <v>50</v>
      </c>
      <c r="M16">
        <v>50</v>
      </c>
      <c r="N16">
        <v>50</v>
      </c>
      <c r="O16">
        <v>50</v>
      </c>
      <c r="P16">
        <v>50</v>
      </c>
      <c r="Q16" s="3">
        <v>65</v>
      </c>
    </row>
    <row r="17" spans="1:17" x14ac:dyDescent="0.3">
      <c r="A17" t="s">
        <v>54</v>
      </c>
      <c r="B17" t="s">
        <v>55</v>
      </c>
      <c r="C17" t="s">
        <v>24</v>
      </c>
      <c r="D17">
        <v>25</v>
      </c>
      <c r="E17">
        <v>34000</v>
      </c>
      <c r="F17">
        <v>2</v>
      </c>
      <c r="G17" t="s">
        <v>16</v>
      </c>
      <c r="H17" t="s">
        <v>25</v>
      </c>
    </row>
    <row r="18" spans="1:17" x14ac:dyDescent="0.3">
      <c r="A18" t="s">
        <v>56</v>
      </c>
      <c r="B18" t="s">
        <v>57</v>
      </c>
      <c r="C18" t="s">
        <v>10</v>
      </c>
      <c r="D18">
        <v>27</v>
      </c>
      <c r="E18">
        <v>41000</v>
      </c>
      <c r="F18">
        <v>3</v>
      </c>
      <c r="G18" t="s">
        <v>39</v>
      </c>
      <c r="H18" t="s">
        <v>12</v>
      </c>
      <c r="J18">
        <v>11</v>
      </c>
      <c r="K18">
        <v>12</v>
      </c>
      <c r="L18">
        <v>13</v>
      </c>
      <c r="M18">
        <v>14</v>
      </c>
      <c r="N18">
        <v>15</v>
      </c>
      <c r="O18">
        <v>16</v>
      </c>
      <c r="P18">
        <v>17</v>
      </c>
      <c r="Q18">
        <v>18</v>
      </c>
    </row>
    <row r="19" spans="1:17" x14ac:dyDescent="0.3">
      <c r="A19" t="s">
        <v>58</v>
      </c>
      <c r="B19" t="s">
        <v>59</v>
      </c>
      <c r="C19" t="s">
        <v>15</v>
      </c>
      <c r="D19">
        <v>30</v>
      </c>
      <c r="E19">
        <v>47000</v>
      </c>
      <c r="G19" t="s">
        <v>31</v>
      </c>
      <c r="H19" t="s">
        <v>17</v>
      </c>
      <c r="J19">
        <v>11</v>
      </c>
      <c r="K19">
        <v>12</v>
      </c>
      <c r="L19">
        <v>13</v>
      </c>
      <c r="M19">
        <v>14</v>
      </c>
      <c r="N19">
        <v>15</v>
      </c>
      <c r="O19">
        <v>16</v>
      </c>
      <c r="P19">
        <v>17</v>
      </c>
      <c r="Q19">
        <v>18</v>
      </c>
    </row>
    <row r="20" spans="1:17" x14ac:dyDescent="0.3">
      <c r="A20" t="s">
        <v>60</v>
      </c>
      <c r="B20" t="s">
        <v>61</v>
      </c>
      <c r="C20" t="s">
        <v>20</v>
      </c>
      <c r="D20">
        <v>36</v>
      </c>
      <c r="E20">
        <v>70000</v>
      </c>
      <c r="F20">
        <v>12</v>
      </c>
      <c r="G20" t="s">
        <v>28</v>
      </c>
      <c r="H20" t="s">
        <v>17</v>
      </c>
      <c r="J20" s="5">
        <v>11</v>
      </c>
      <c r="K20">
        <v>12</v>
      </c>
      <c r="L20">
        <v>13</v>
      </c>
      <c r="M20" s="5">
        <v>14</v>
      </c>
      <c r="N20">
        <v>15</v>
      </c>
      <c r="O20">
        <v>16</v>
      </c>
      <c r="P20">
        <v>17</v>
      </c>
      <c r="Q20">
        <v>18</v>
      </c>
    </row>
    <row r="21" spans="1:17" x14ac:dyDescent="0.3">
      <c r="A21" t="s">
        <v>62</v>
      </c>
      <c r="B21" t="s">
        <v>63</v>
      </c>
      <c r="C21" t="s">
        <v>24</v>
      </c>
      <c r="D21">
        <v>24</v>
      </c>
      <c r="E21">
        <v>33000</v>
      </c>
      <c r="F21">
        <v>1</v>
      </c>
      <c r="G21" t="s">
        <v>34</v>
      </c>
      <c r="H21" t="s">
        <v>25</v>
      </c>
      <c r="J21">
        <v>11</v>
      </c>
      <c r="K21">
        <v>12</v>
      </c>
      <c r="L21" s="4">
        <v>23</v>
      </c>
      <c r="M21">
        <v>14</v>
      </c>
      <c r="N21">
        <v>15</v>
      </c>
      <c r="O21" s="5">
        <v>16</v>
      </c>
      <c r="P21">
        <v>17</v>
      </c>
      <c r="Q21">
        <v>18</v>
      </c>
    </row>
    <row r="22" spans="1:17" x14ac:dyDescent="0.3">
      <c r="A22" t="s">
        <v>64</v>
      </c>
      <c r="B22" t="s">
        <v>65</v>
      </c>
      <c r="C22" t="s">
        <v>10</v>
      </c>
      <c r="D22">
        <v>31</v>
      </c>
      <c r="E22">
        <v>53000</v>
      </c>
      <c r="F22">
        <v>7</v>
      </c>
      <c r="G22" t="s">
        <v>11</v>
      </c>
      <c r="H22" t="s">
        <v>12</v>
      </c>
      <c r="J22">
        <v>11</v>
      </c>
      <c r="K22">
        <v>12</v>
      </c>
      <c r="L22">
        <v>13</v>
      </c>
      <c r="M22">
        <v>14</v>
      </c>
      <c r="N22">
        <v>15</v>
      </c>
      <c r="O22">
        <v>16</v>
      </c>
      <c r="P22">
        <v>17</v>
      </c>
      <c r="Q22">
        <v>18</v>
      </c>
    </row>
    <row r="23" spans="1:17" x14ac:dyDescent="0.3">
      <c r="A23" t="s">
        <v>66</v>
      </c>
      <c r="B23" t="s">
        <v>67</v>
      </c>
      <c r="C23" t="s">
        <v>15</v>
      </c>
      <c r="D23">
        <v>26</v>
      </c>
      <c r="E23">
        <v>39000</v>
      </c>
      <c r="F23">
        <v>3</v>
      </c>
      <c r="G23" t="s">
        <v>44</v>
      </c>
      <c r="H23" t="s">
        <v>12</v>
      </c>
      <c r="J23">
        <v>11</v>
      </c>
      <c r="K23" s="4">
        <v>13</v>
      </c>
      <c r="L23">
        <v>13</v>
      </c>
      <c r="M23">
        <v>14</v>
      </c>
      <c r="N23">
        <v>15</v>
      </c>
      <c r="O23">
        <v>16</v>
      </c>
      <c r="P23" s="4">
        <v>27</v>
      </c>
      <c r="Q23">
        <v>18</v>
      </c>
    </row>
    <row r="24" spans="1:17" x14ac:dyDescent="0.3">
      <c r="A24" t="s">
        <v>68</v>
      </c>
      <c r="B24" t="s">
        <v>69</v>
      </c>
      <c r="C24" t="s">
        <v>20</v>
      </c>
      <c r="D24">
        <v>29</v>
      </c>
      <c r="E24">
        <v>49000</v>
      </c>
      <c r="F24">
        <v>5</v>
      </c>
      <c r="G24" t="s">
        <v>49</v>
      </c>
      <c r="H24" t="s">
        <v>12</v>
      </c>
      <c r="J24">
        <v>11</v>
      </c>
      <c r="K24">
        <v>12</v>
      </c>
      <c r="L24">
        <v>13</v>
      </c>
      <c r="M24" s="5" t="s">
        <v>87</v>
      </c>
      <c r="N24">
        <v>15</v>
      </c>
      <c r="O24">
        <v>16</v>
      </c>
      <c r="P24">
        <v>17</v>
      </c>
      <c r="Q24">
        <v>18</v>
      </c>
    </row>
    <row r="25" spans="1:17" x14ac:dyDescent="0.3">
      <c r="A25" t="s">
        <v>70</v>
      </c>
      <c r="B25" t="s">
        <v>71</v>
      </c>
      <c r="C25" t="s">
        <v>24</v>
      </c>
      <c r="D25">
        <v>32</v>
      </c>
      <c r="E25">
        <v>56000</v>
      </c>
      <c r="F25">
        <v>8</v>
      </c>
      <c r="G25" t="s">
        <v>21</v>
      </c>
      <c r="H25" t="s">
        <v>17</v>
      </c>
      <c r="J25">
        <v>11</v>
      </c>
      <c r="K25">
        <v>12</v>
      </c>
      <c r="L25">
        <v>13</v>
      </c>
      <c r="M25">
        <v>14</v>
      </c>
      <c r="N25">
        <v>15</v>
      </c>
      <c r="O25">
        <v>16</v>
      </c>
      <c r="P25">
        <v>17</v>
      </c>
      <c r="Q25">
        <v>18</v>
      </c>
    </row>
    <row r="26" spans="1:17" x14ac:dyDescent="0.3">
      <c r="A26" t="s">
        <v>72</v>
      </c>
      <c r="B26" t="s">
        <v>73</v>
      </c>
      <c r="C26" t="s">
        <v>10</v>
      </c>
      <c r="D26">
        <v>34</v>
      </c>
      <c r="E26">
        <v>61000</v>
      </c>
      <c r="F26">
        <v>9</v>
      </c>
      <c r="G26" t="s">
        <v>28</v>
      </c>
      <c r="H26" t="s">
        <v>17</v>
      </c>
      <c r="J26">
        <v>11</v>
      </c>
      <c r="K26">
        <v>12</v>
      </c>
      <c r="L26">
        <v>13</v>
      </c>
      <c r="M26" s="4">
        <v>12</v>
      </c>
      <c r="N26">
        <v>15</v>
      </c>
      <c r="O26">
        <v>16</v>
      </c>
      <c r="P26">
        <v>17</v>
      </c>
      <c r="Q26">
        <v>18</v>
      </c>
    </row>
    <row r="27" spans="1:17" x14ac:dyDescent="0.3">
      <c r="A27" t="s">
        <v>74</v>
      </c>
      <c r="B27" t="s">
        <v>75</v>
      </c>
      <c r="C27" t="s">
        <v>15</v>
      </c>
      <c r="D27">
        <v>27</v>
      </c>
      <c r="E27">
        <v>41000</v>
      </c>
      <c r="F27">
        <v>4</v>
      </c>
      <c r="G27" t="s">
        <v>11</v>
      </c>
      <c r="H27" t="s">
        <v>12</v>
      </c>
      <c r="J27" s="4">
        <v>10</v>
      </c>
      <c r="K27">
        <v>12</v>
      </c>
      <c r="L27">
        <v>13</v>
      </c>
      <c r="M27">
        <v>14</v>
      </c>
      <c r="N27">
        <v>15</v>
      </c>
      <c r="O27">
        <v>16</v>
      </c>
      <c r="P27">
        <v>17</v>
      </c>
      <c r="Q27">
        <v>18</v>
      </c>
    </row>
    <row r="28" spans="1:17" x14ac:dyDescent="0.3">
      <c r="A28" t="s">
        <v>76</v>
      </c>
      <c r="B28" t="s">
        <v>77</v>
      </c>
      <c r="C28" t="s">
        <v>20</v>
      </c>
      <c r="D28">
        <v>25</v>
      </c>
      <c r="E28">
        <v>36000</v>
      </c>
      <c r="F28">
        <v>2</v>
      </c>
      <c r="G28" t="s">
        <v>39</v>
      </c>
      <c r="H28" t="s">
        <v>25</v>
      </c>
      <c r="J28">
        <v>11</v>
      </c>
      <c r="K28">
        <v>12</v>
      </c>
      <c r="L28">
        <v>13</v>
      </c>
      <c r="M28">
        <v>14</v>
      </c>
      <c r="N28">
        <v>15</v>
      </c>
      <c r="O28">
        <v>16</v>
      </c>
      <c r="P28">
        <v>17</v>
      </c>
      <c r="Q28">
        <v>18</v>
      </c>
    </row>
    <row r="29" spans="1:17" x14ac:dyDescent="0.3">
      <c r="A29" t="s">
        <v>78</v>
      </c>
      <c r="B29" t="s">
        <v>79</v>
      </c>
      <c r="C29" t="s">
        <v>24</v>
      </c>
      <c r="D29">
        <v>28</v>
      </c>
      <c r="E29">
        <v>45000</v>
      </c>
      <c r="F29">
        <v>5</v>
      </c>
      <c r="G29" t="s">
        <v>16</v>
      </c>
      <c r="H29" t="s">
        <v>12</v>
      </c>
    </row>
    <row r="30" spans="1:17" x14ac:dyDescent="0.3">
      <c r="A30" t="s">
        <v>80</v>
      </c>
      <c r="B30" t="s">
        <v>81</v>
      </c>
      <c r="C30" t="s">
        <v>10</v>
      </c>
      <c r="D30">
        <v>30</v>
      </c>
      <c r="E30">
        <v>52000</v>
      </c>
      <c r="F30">
        <v>6</v>
      </c>
      <c r="G30" t="s">
        <v>11</v>
      </c>
      <c r="H30" t="s">
        <v>17</v>
      </c>
      <c r="N30" t="e">
        <f>M24+O21+M20+J20</f>
        <v>#VALUE!</v>
      </c>
    </row>
    <row r="31" spans="1:17" x14ac:dyDescent="0.3">
      <c r="A31" t="s">
        <v>82</v>
      </c>
      <c r="B31" t="s">
        <v>83</v>
      </c>
      <c r="C31" t="s">
        <v>15</v>
      </c>
      <c r="D31">
        <v>33</v>
      </c>
      <c r="E31">
        <v>57000</v>
      </c>
      <c r="F31">
        <v>8</v>
      </c>
      <c r="G31" t="s">
        <v>49</v>
      </c>
      <c r="H31" t="s">
        <v>17</v>
      </c>
      <c r="J31" t="s">
        <v>86</v>
      </c>
    </row>
    <row r="33" spans="11:14" x14ac:dyDescent="0.3">
      <c r="K33">
        <v>23</v>
      </c>
      <c r="L33">
        <v>52</v>
      </c>
      <c r="M33">
        <v>44</v>
      </c>
      <c r="N33">
        <f>K34+L35+L33+K35+L34+K33</f>
        <v>260</v>
      </c>
    </row>
    <row r="34" spans="11:14" x14ac:dyDescent="0.3">
      <c r="K34">
        <v>54</v>
      </c>
      <c r="L34">
        <v>45</v>
      </c>
    </row>
    <row r="35" spans="11:14" x14ac:dyDescent="0.3">
      <c r="K35">
        <v>53</v>
      </c>
      <c r="L35">
        <v>33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C299-361A-4477-A68D-FEC72CB56D85}">
  <dimension ref="A1:E24"/>
  <sheetViews>
    <sheetView topLeftCell="A5" workbookViewId="0">
      <selection activeCell="B20" sqref="B20"/>
    </sheetView>
  </sheetViews>
  <sheetFormatPr defaultRowHeight="14.4" outlineLevelRow="2" x14ac:dyDescent="0.3"/>
  <cols>
    <col min="1" max="1" width="6.77734375" bestFit="1" customWidth="1"/>
    <col min="2" max="2" width="6.5546875" bestFit="1" customWidth="1"/>
    <col min="3" max="4" width="14.44140625" bestFit="1" customWidth="1"/>
    <col min="5" max="5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88</v>
      </c>
    </row>
    <row r="2" spans="1:5" hidden="1" outlineLevel="2" x14ac:dyDescent="0.3">
      <c r="A2" t="s">
        <v>18</v>
      </c>
      <c r="B2" t="s">
        <v>19</v>
      </c>
      <c r="C2" t="s">
        <v>20</v>
      </c>
      <c r="D2">
        <v>50000</v>
      </c>
      <c r="E2">
        <v>6</v>
      </c>
    </row>
    <row r="3" spans="1:5" hidden="1" outlineLevel="2" x14ac:dyDescent="0.3">
      <c r="A3" t="s">
        <v>32</v>
      </c>
      <c r="B3" t="s">
        <v>33</v>
      </c>
      <c r="C3" t="s">
        <v>20</v>
      </c>
      <c r="D3">
        <v>55000</v>
      </c>
      <c r="E3">
        <v>7</v>
      </c>
    </row>
    <row r="4" spans="1:5" hidden="1" outlineLevel="2" x14ac:dyDescent="0.3">
      <c r="A4" t="s">
        <v>40</v>
      </c>
      <c r="B4" t="s">
        <v>41</v>
      </c>
      <c r="C4" t="s">
        <v>20</v>
      </c>
      <c r="D4">
        <v>58000</v>
      </c>
      <c r="E4">
        <v>8</v>
      </c>
    </row>
    <row r="5" spans="1:5" outlineLevel="1" collapsed="1" x14ac:dyDescent="0.3">
      <c r="C5" s="2" t="s">
        <v>90</v>
      </c>
      <c r="D5">
        <f>SUBTOTAL(9,D2:D4)</f>
        <v>163000</v>
      </c>
    </row>
    <row r="6" spans="1:5" hidden="1" outlineLevel="2" x14ac:dyDescent="0.3">
      <c r="A6" t="s">
        <v>13</v>
      </c>
      <c r="B6" t="s">
        <v>14</v>
      </c>
      <c r="C6" t="s">
        <v>15</v>
      </c>
      <c r="D6">
        <v>42000</v>
      </c>
      <c r="E6">
        <v>4</v>
      </c>
    </row>
    <row r="7" spans="1:5" hidden="1" outlineLevel="2" x14ac:dyDescent="0.3">
      <c r="A7" t="s">
        <v>29</v>
      </c>
      <c r="B7" t="s">
        <v>30</v>
      </c>
      <c r="C7" t="s">
        <v>15</v>
      </c>
      <c r="D7">
        <v>40000</v>
      </c>
      <c r="E7">
        <v>3</v>
      </c>
    </row>
    <row r="8" spans="1:5" outlineLevel="1" collapsed="1" x14ac:dyDescent="0.3">
      <c r="C8" s="2" t="s">
        <v>91</v>
      </c>
      <c r="D8">
        <f>SUBTOTAL(9,D6:D7)</f>
        <v>82000</v>
      </c>
    </row>
    <row r="9" spans="1:5" hidden="1" outlineLevel="2" x14ac:dyDescent="0.3">
      <c r="A9" t="s">
        <v>8</v>
      </c>
      <c r="B9" t="s">
        <v>9</v>
      </c>
      <c r="C9" t="s">
        <v>10</v>
      </c>
      <c r="D9">
        <v>35000</v>
      </c>
      <c r="E9">
        <v>2</v>
      </c>
    </row>
    <row r="10" spans="1:5" hidden="1" outlineLevel="2" x14ac:dyDescent="0.3">
      <c r="A10" t="s">
        <v>26</v>
      </c>
      <c r="B10" t="s">
        <v>27</v>
      </c>
      <c r="C10" t="s">
        <v>10</v>
      </c>
      <c r="D10">
        <v>65000</v>
      </c>
      <c r="E10">
        <v>10</v>
      </c>
    </row>
    <row r="11" spans="1:5" hidden="1" outlineLevel="2" x14ac:dyDescent="0.3">
      <c r="A11" t="s">
        <v>37</v>
      </c>
      <c r="B11" t="s">
        <v>38</v>
      </c>
      <c r="C11" t="s">
        <v>10</v>
      </c>
      <c r="D11">
        <v>48000</v>
      </c>
      <c r="E11">
        <v>5</v>
      </c>
    </row>
    <row r="12" spans="1:5" outlineLevel="1" collapsed="1" x14ac:dyDescent="0.3">
      <c r="C12" s="2" t="s">
        <v>92</v>
      </c>
      <c r="D12">
        <f>SUBTOTAL(9,D9:D11)</f>
        <v>148000</v>
      </c>
    </row>
    <row r="13" spans="1:5" hidden="1" outlineLevel="2" x14ac:dyDescent="0.3">
      <c r="A13" t="s">
        <v>22</v>
      </c>
      <c r="B13" t="s">
        <v>23</v>
      </c>
      <c r="C13" t="s">
        <v>24</v>
      </c>
      <c r="D13">
        <v>32000</v>
      </c>
      <c r="E13">
        <v>1</v>
      </c>
    </row>
    <row r="14" spans="1:5" hidden="1" outlineLevel="2" x14ac:dyDescent="0.3">
      <c r="A14" t="s">
        <v>35</v>
      </c>
      <c r="B14" t="s">
        <v>36</v>
      </c>
      <c r="C14" t="s">
        <v>24</v>
      </c>
      <c r="D14">
        <v>37000</v>
      </c>
      <c r="E14">
        <v>2</v>
      </c>
    </row>
    <row r="15" spans="1:5" outlineLevel="1" collapsed="1" x14ac:dyDescent="0.3">
      <c r="C15" s="2" t="s">
        <v>93</v>
      </c>
      <c r="D15">
        <f>SUBTOTAL(9,D13:D14)</f>
        <v>69000</v>
      </c>
    </row>
    <row r="16" spans="1:5" x14ac:dyDescent="0.3">
      <c r="C16" s="2" t="s">
        <v>89</v>
      </c>
      <c r="D16">
        <f>SUBTOTAL(9,D2:D14)</f>
        <v>462000</v>
      </c>
    </row>
    <row r="20" spans="4:5" x14ac:dyDescent="0.3">
      <c r="D20" s="2" t="s">
        <v>90</v>
      </c>
      <c r="E20">
        <v>163000</v>
      </c>
    </row>
    <row r="21" spans="4:5" x14ac:dyDescent="0.3">
      <c r="D21" s="2" t="s">
        <v>91</v>
      </c>
      <c r="E21">
        <v>82000</v>
      </c>
    </row>
    <row r="22" spans="4:5" x14ac:dyDescent="0.3">
      <c r="D22" s="2" t="s">
        <v>92</v>
      </c>
      <c r="E22">
        <v>148000</v>
      </c>
    </row>
    <row r="23" spans="4:5" x14ac:dyDescent="0.3">
      <c r="D23" s="2" t="s">
        <v>93</v>
      </c>
      <c r="E23">
        <v>69000</v>
      </c>
    </row>
    <row r="24" spans="4:5" x14ac:dyDescent="0.3">
      <c r="D24" s="2" t="s">
        <v>89</v>
      </c>
      <c r="E24">
        <v>462000</v>
      </c>
    </row>
  </sheetData>
  <sortState xmlns:xlrd2="http://schemas.microsoft.com/office/spreadsheetml/2017/richdata2" ref="A2:E14">
    <sortCondition ref="C2:C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3547-C79D-4919-ACF5-3A906F5259BE}">
  <dimension ref="A1:U43"/>
  <sheetViews>
    <sheetView tabSelected="1" topLeftCell="A25" workbookViewId="0">
      <selection activeCell="E35" sqref="E35"/>
    </sheetView>
  </sheetViews>
  <sheetFormatPr defaultRowHeight="14.4" x14ac:dyDescent="0.3"/>
  <cols>
    <col min="1" max="1" width="9.88671875" customWidth="1"/>
    <col min="2" max="2" width="9.5546875" customWidth="1"/>
    <col min="3" max="3" width="10.21875" customWidth="1"/>
    <col min="5" max="5" width="12.88671875" customWidth="1"/>
  </cols>
  <sheetData>
    <row r="1" spans="1:21" ht="28.8" x14ac:dyDescent="0.3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6</v>
      </c>
      <c r="H1" s="6" t="s">
        <v>94</v>
      </c>
      <c r="I1" s="6" t="s">
        <v>95</v>
      </c>
      <c r="J1" s="6" t="s">
        <v>96</v>
      </c>
      <c r="K1" s="6" t="s">
        <v>97</v>
      </c>
      <c r="L1" s="6" t="s">
        <v>98</v>
      </c>
      <c r="M1" s="6" t="s">
        <v>6</v>
      </c>
      <c r="P1" s="6" t="s">
        <v>94</v>
      </c>
      <c r="Q1" s="6" t="s">
        <v>95</v>
      </c>
      <c r="R1" s="6" t="s">
        <v>96</v>
      </c>
      <c r="S1" s="6" t="s">
        <v>97</v>
      </c>
      <c r="T1" s="6" t="s">
        <v>98</v>
      </c>
      <c r="U1" s="6" t="s">
        <v>6</v>
      </c>
    </row>
    <row r="2" spans="1:21" x14ac:dyDescent="0.3">
      <c r="A2" s="7" t="s">
        <v>99</v>
      </c>
      <c r="B2" s="7" t="s">
        <v>100</v>
      </c>
      <c r="C2" s="7">
        <v>2</v>
      </c>
      <c r="D2" s="7">
        <v>45000</v>
      </c>
      <c r="E2" s="7" t="s">
        <v>9</v>
      </c>
      <c r="F2" s="7" t="s">
        <v>11</v>
      </c>
      <c r="H2" s="7" t="s">
        <v>99</v>
      </c>
      <c r="I2" s="7" t="s">
        <v>100</v>
      </c>
      <c r="J2" s="7">
        <v>2</v>
      </c>
      <c r="K2" s="7">
        <v>45000</v>
      </c>
      <c r="L2" s="7" t="s">
        <v>9</v>
      </c>
      <c r="M2" s="7" t="s">
        <v>11</v>
      </c>
      <c r="P2" s="7" t="s">
        <v>99</v>
      </c>
      <c r="Q2" s="7" t="s">
        <v>100</v>
      </c>
      <c r="R2" s="7">
        <v>2</v>
      </c>
      <c r="S2" s="7">
        <v>45000</v>
      </c>
      <c r="T2" s="7" t="s">
        <v>9</v>
      </c>
      <c r="U2" s="7" t="s">
        <v>11</v>
      </c>
    </row>
    <row r="3" spans="1:21" x14ac:dyDescent="0.3">
      <c r="A3" s="7" t="s">
        <v>101</v>
      </c>
      <c r="B3" s="7" t="s">
        <v>102</v>
      </c>
      <c r="C3" s="7">
        <v>5</v>
      </c>
      <c r="D3" s="7">
        <v>500</v>
      </c>
      <c r="E3" s="7" t="s">
        <v>14</v>
      </c>
      <c r="F3" s="7" t="s">
        <v>16</v>
      </c>
      <c r="H3" s="7" t="s">
        <v>101</v>
      </c>
      <c r="I3" s="7" t="s">
        <v>102</v>
      </c>
      <c r="J3" s="7">
        <v>5</v>
      </c>
      <c r="K3" s="7">
        <v>500</v>
      </c>
      <c r="L3" s="7" t="s">
        <v>14</v>
      </c>
      <c r="M3" s="7" t="s">
        <v>16</v>
      </c>
      <c r="P3" s="7" t="s">
        <v>101</v>
      </c>
      <c r="Q3" s="7" t="s">
        <v>102</v>
      </c>
      <c r="R3" s="7">
        <v>5</v>
      </c>
      <c r="S3" s="7">
        <v>500</v>
      </c>
      <c r="T3" s="7" t="s">
        <v>14</v>
      </c>
      <c r="U3" s="7" t="s">
        <v>16</v>
      </c>
    </row>
    <row r="4" spans="1:21" x14ac:dyDescent="0.3">
      <c r="A4" s="7" t="s">
        <v>103</v>
      </c>
      <c r="B4" s="7" t="s">
        <v>104</v>
      </c>
      <c r="C4" s="7">
        <v>3</v>
      </c>
      <c r="D4" s="7">
        <v>1200</v>
      </c>
      <c r="E4" s="7" t="s">
        <v>19</v>
      </c>
      <c r="F4" s="7" t="s">
        <v>34</v>
      </c>
      <c r="H4" s="7" t="s">
        <v>103</v>
      </c>
      <c r="I4" s="7" t="s">
        <v>104</v>
      </c>
      <c r="J4" s="7">
        <v>3</v>
      </c>
      <c r="K4" s="7">
        <v>1200</v>
      </c>
      <c r="L4" s="7" t="s">
        <v>19</v>
      </c>
      <c r="M4" s="7" t="s">
        <v>34</v>
      </c>
      <c r="P4" s="7" t="s">
        <v>103</v>
      </c>
      <c r="Q4" s="7" t="s">
        <v>104</v>
      </c>
      <c r="R4" s="7">
        <v>3</v>
      </c>
      <c r="S4" s="7">
        <v>1200</v>
      </c>
      <c r="T4" s="7" t="s">
        <v>19</v>
      </c>
      <c r="U4" s="7" t="s">
        <v>34</v>
      </c>
    </row>
    <row r="5" spans="1:21" x14ac:dyDescent="0.3">
      <c r="A5" s="7" t="s">
        <v>105</v>
      </c>
      <c r="B5" s="7" t="s">
        <v>106</v>
      </c>
      <c r="C5" s="7">
        <v>1</v>
      </c>
      <c r="D5" s="7">
        <v>15000</v>
      </c>
      <c r="E5" s="7" t="s">
        <v>23</v>
      </c>
      <c r="F5" s="7" t="s">
        <v>11</v>
      </c>
      <c r="H5" s="7" t="s">
        <v>105</v>
      </c>
      <c r="I5" s="7" t="s">
        <v>106</v>
      </c>
      <c r="J5" s="7">
        <v>1</v>
      </c>
      <c r="K5" s="7">
        <v>15000</v>
      </c>
      <c r="L5" s="7" t="s">
        <v>23</v>
      </c>
      <c r="M5" s="7" t="s">
        <v>11</v>
      </c>
      <c r="P5" s="7" t="s">
        <v>105</v>
      </c>
      <c r="Q5" s="7" t="s">
        <v>106</v>
      </c>
      <c r="R5" s="7">
        <v>1</v>
      </c>
      <c r="S5" s="7">
        <v>15000</v>
      </c>
      <c r="T5" s="7" t="s">
        <v>23</v>
      </c>
      <c r="U5" s="7" t="s">
        <v>11</v>
      </c>
    </row>
    <row r="6" spans="1:21" x14ac:dyDescent="0.3">
      <c r="A6" s="7" t="s">
        <v>107</v>
      </c>
      <c r="B6" s="7" t="s">
        <v>108</v>
      </c>
      <c r="C6" s="7">
        <v>2</v>
      </c>
      <c r="D6" s="7">
        <v>8000</v>
      </c>
      <c r="E6" s="7" t="s">
        <v>27</v>
      </c>
      <c r="F6" s="7" t="s">
        <v>21</v>
      </c>
      <c r="H6" s="7" t="s">
        <v>107</v>
      </c>
      <c r="I6" s="7" t="s">
        <v>108</v>
      </c>
      <c r="J6" s="7">
        <v>2</v>
      </c>
      <c r="K6" s="7">
        <v>8000</v>
      </c>
      <c r="L6" s="7" t="s">
        <v>27</v>
      </c>
      <c r="M6" s="7" t="s">
        <v>21</v>
      </c>
      <c r="P6" s="7" t="s">
        <v>107</v>
      </c>
      <c r="Q6" s="7" t="s">
        <v>108</v>
      </c>
      <c r="R6" s="7">
        <v>2</v>
      </c>
      <c r="S6" s="7">
        <v>8000</v>
      </c>
      <c r="T6" s="7" t="s">
        <v>27</v>
      </c>
      <c r="U6" s="7" t="s">
        <v>21</v>
      </c>
    </row>
    <row r="7" spans="1:21" ht="28.8" x14ac:dyDescent="0.3">
      <c r="A7" s="7" t="s">
        <v>109</v>
      </c>
      <c r="B7" s="7" t="s">
        <v>110</v>
      </c>
      <c r="C7" s="7">
        <v>4</v>
      </c>
      <c r="D7" s="7">
        <v>1800</v>
      </c>
      <c r="E7" s="7" t="s">
        <v>30</v>
      </c>
      <c r="F7" s="7" t="s">
        <v>31</v>
      </c>
      <c r="H7" s="7" t="s">
        <v>109</v>
      </c>
      <c r="I7" s="7" t="s">
        <v>110</v>
      </c>
      <c r="J7" s="7">
        <v>4</v>
      </c>
      <c r="K7" s="7">
        <v>1800</v>
      </c>
      <c r="L7" s="7" t="s">
        <v>30</v>
      </c>
      <c r="M7" s="7" t="s">
        <v>31</v>
      </c>
      <c r="P7" s="7" t="s">
        <v>109</v>
      </c>
      <c r="Q7" s="7" t="s">
        <v>110</v>
      </c>
      <c r="R7" s="7">
        <v>4</v>
      </c>
      <c r="S7" s="7">
        <v>1800</v>
      </c>
      <c r="T7" s="7" t="s">
        <v>30</v>
      </c>
      <c r="U7" s="7" t="s">
        <v>31</v>
      </c>
    </row>
    <row r="8" spans="1:21" ht="28.8" x14ac:dyDescent="0.3">
      <c r="A8" s="7" t="s">
        <v>111</v>
      </c>
      <c r="B8" s="7" t="s">
        <v>112</v>
      </c>
      <c r="C8" s="7">
        <v>6</v>
      </c>
      <c r="D8" s="7">
        <v>2500</v>
      </c>
      <c r="E8" s="7" t="s">
        <v>33</v>
      </c>
      <c r="F8" s="7" t="s">
        <v>11</v>
      </c>
      <c r="H8" s="7" t="s">
        <v>111</v>
      </c>
      <c r="I8" s="7" t="s">
        <v>112</v>
      </c>
      <c r="J8" s="7">
        <v>6</v>
      </c>
      <c r="K8" s="7">
        <v>2500</v>
      </c>
      <c r="L8" s="7" t="s">
        <v>33</v>
      </c>
      <c r="M8" s="7" t="s">
        <v>11</v>
      </c>
      <c r="P8" s="7" t="s">
        <v>111</v>
      </c>
      <c r="Q8" s="7" t="s">
        <v>112</v>
      </c>
      <c r="R8" s="7">
        <v>6</v>
      </c>
      <c r="S8" s="7">
        <v>2500</v>
      </c>
      <c r="T8" s="7" t="s">
        <v>33</v>
      </c>
      <c r="U8" s="7" t="s">
        <v>11</v>
      </c>
    </row>
    <row r="9" spans="1:21" x14ac:dyDescent="0.3">
      <c r="A9" s="7" t="s">
        <v>113</v>
      </c>
      <c r="B9" s="7" t="s">
        <v>114</v>
      </c>
      <c r="C9" s="7">
        <v>2</v>
      </c>
      <c r="D9" s="7">
        <v>3500</v>
      </c>
      <c r="E9" s="7" t="s">
        <v>36</v>
      </c>
      <c r="F9" s="7" t="s">
        <v>44</v>
      </c>
      <c r="H9" s="7" t="s">
        <v>113</v>
      </c>
      <c r="I9" s="7" t="s">
        <v>114</v>
      </c>
      <c r="J9" s="7">
        <v>2</v>
      </c>
      <c r="K9" s="7">
        <v>3500</v>
      </c>
      <c r="L9" s="7" t="s">
        <v>36</v>
      </c>
      <c r="M9" s="7" t="s">
        <v>44</v>
      </c>
      <c r="P9" s="7" t="s">
        <v>113</v>
      </c>
      <c r="Q9" s="7" t="s">
        <v>114</v>
      </c>
      <c r="R9" s="7">
        <v>2</v>
      </c>
      <c r="S9" s="7">
        <v>3500</v>
      </c>
      <c r="T9" s="7" t="s">
        <v>36</v>
      </c>
      <c r="U9" s="7" t="s">
        <v>44</v>
      </c>
    </row>
    <row r="10" spans="1:21" x14ac:dyDescent="0.3">
      <c r="A10" s="7" t="s">
        <v>115</v>
      </c>
      <c r="B10" s="7" t="s">
        <v>116</v>
      </c>
      <c r="C10" s="7">
        <v>3</v>
      </c>
      <c r="D10" s="7">
        <v>5000</v>
      </c>
      <c r="E10" s="7" t="s">
        <v>38</v>
      </c>
      <c r="F10" s="7" t="s">
        <v>39</v>
      </c>
      <c r="H10" s="7" t="s">
        <v>115</v>
      </c>
      <c r="I10" s="7" t="s">
        <v>116</v>
      </c>
      <c r="J10" s="7">
        <v>3</v>
      </c>
      <c r="K10" s="7">
        <v>5000</v>
      </c>
      <c r="L10" s="7" t="s">
        <v>38</v>
      </c>
      <c r="M10" s="7" t="s">
        <v>39</v>
      </c>
      <c r="P10" s="7" t="s">
        <v>115</v>
      </c>
      <c r="Q10" s="7" t="s">
        <v>116</v>
      </c>
      <c r="R10" s="7">
        <v>3</v>
      </c>
      <c r="S10" s="7">
        <v>5000</v>
      </c>
      <c r="T10" s="7" t="s">
        <v>38</v>
      </c>
      <c r="U10" s="7" t="s">
        <v>39</v>
      </c>
    </row>
    <row r="11" spans="1:21" x14ac:dyDescent="0.3">
      <c r="A11" s="7" t="s">
        <v>117</v>
      </c>
      <c r="B11" s="7" t="s">
        <v>118</v>
      </c>
      <c r="C11" s="7">
        <v>1</v>
      </c>
      <c r="D11" s="7">
        <v>22000</v>
      </c>
      <c r="E11" s="7" t="s">
        <v>41</v>
      </c>
      <c r="F11" s="7" t="s">
        <v>49</v>
      </c>
      <c r="H11" s="7" t="s">
        <v>117</v>
      </c>
      <c r="I11" s="7" t="s">
        <v>118</v>
      </c>
      <c r="J11" s="7">
        <v>1</v>
      </c>
      <c r="K11" s="7">
        <v>22000</v>
      </c>
      <c r="L11" s="7" t="s">
        <v>41</v>
      </c>
      <c r="M11" s="7" t="s">
        <v>49</v>
      </c>
      <c r="P11" s="7" t="s">
        <v>117</v>
      </c>
      <c r="Q11" s="7" t="s">
        <v>118</v>
      </c>
      <c r="R11" s="7">
        <v>1</v>
      </c>
      <c r="S11" s="7">
        <v>22000</v>
      </c>
      <c r="T11" s="7" t="s">
        <v>41</v>
      </c>
      <c r="U11" s="7" t="s">
        <v>49</v>
      </c>
    </row>
    <row r="14" spans="1:21" x14ac:dyDescent="0.3">
      <c r="A14" s="6" t="s">
        <v>94</v>
      </c>
      <c r="B14" s="7" t="s">
        <v>99</v>
      </c>
      <c r="C14" s="7" t="s">
        <v>101</v>
      </c>
      <c r="D14" s="7" t="s">
        <v>103</v>
      </c>
      <c r="E14" s="7" t="s">
        <v>105</v>
      </c>
      <c r="F14" s="7" t="s">
        <v>107</v>
      </c>
      <c r="G14" s="7" t="s">
        <v>109</v>
      </c>
      <c r="H14" s="7" t="s">
        <v>111</v>
      </c>
      <c r="I14" s="7" t="s">
        <v>113</v>
      </c>
      <c r="J14" s="7" t="s">
        <v>115</v>
      </c>
      <c r="K14" s="7" t="s">
        <v>117</v>
      </c>
    </row>
    <row r="15" spans="1:21" ht="28.8" x14ac:dyDescent="0.3">
      <c r="A15" s="6" t="s">
        <v>95</v>
      </c>
      <c r="B15" s="7" t="s">
        <v>100</v>
      </c>
      <c r="C15" s="7" t="s">
        <v>102</v>
      </c>
      <c r="D15" s="7" t="s">
        <v>104</v>
      </c>
      <c r="E15" s="7" t="s">
        <v>106</v>
      </c>
      <c r="F15" s="7" t="s">
        <v>108</v>
      </c>
      <c r="G15" s="7" t="s">
        <v>110</v>
      </c>
      <c r="H15" s="7" t="s">
        <v>112</v>
      </c>
      <c r="I15" s="7" t="s">
        <v>114</v>
      </c>
      <c r="J15" s="7" t="s">
        <v>116</v>
      </c>
      <c r="K15" s="7" t="s">
        <v>118</v>
      </c>
      <c r="P15" t="str">
        <f>Table14[[#Headers],[Order ID]]</f>
        <v>Order ID</v>
      </c>
      <c r="Q15" t="str">
        <f>Table14[[#Headers],[Product]]</f>
        <v>Product</v>
      </c>
      <c r="R15" t="str">
        <f>Table14[[#Headers],[Quantity]]</f>
        <v>Quantity</v>
      </c>
      <c r="S15" t="str">
        <f>Table14[[#Headers],[Price]]</f>
        <v>Price</v>
      </c>
      <c r="T15" t="str">
        <f>Table14[[#Headers],[Salesperson]]</f>
        <v>Salesperson</v>
      </c>
      <c r="U15" t="str">
        <f>Table14[[#Headers],[City]]</f>
        <v>City</v>
      </c>
    </row>
    <row r="16" spans="1:21" x14ac:dyDescent="0.3">
      <c r="A16" s="6" t="s">
        <v>96</v>
      </c>
      <c r="B16" s="7">
        <v>2</v>
      </c>
      <c r="C16" s="7">
        <v>5</v>
      </c>
      <c r="D16" s="7">
        <v>3</v>
      </c>
      <c r="E16" s="7">
        <v>1</v>
      </c>
      <c r="F16" s="7">
        <v>2</v>
      </c>
      <c r="G16" s="7">
        <v>4</v>
      </c>
      <c r="H16" s="7">
        <v>6</v>
      </c>
      <c r="I16" s="7">
        <v>2</v>
      </c>
      <c r="J16" s="7">
        <v>3</v>
      </c>
      <c r="K16" s="7">
        <v>1</v>
      </c>
      <c r="P16" t="str" cm="1">
        <f t="array" ref="P16:U25">P2:U11</f>
        <v>O001</v>
      </c>
      <c r="Q16" t="str">
        <v>Laptop</v>
      </c>
      <c r="R16">
        <v>2</v>
      </c>
      <c r="S16">
        <v>45000</v>
      </c>
      <c r="T16" t="str">
        <v>Rahul</v>
      </c>
      <c r="U16" t="str">
        <v>Delhi</v>
      </c>
    </row>
    <row r="17" spans="1:21" x14ac:dyDescent="0.3">
      <c r="A17" s="6" t="s">
        <v>97</v>
      </c>
      <c r="B17" s="7">
        <v>45000</v>
      </c>
      <c r="C17" s="7">
        <v>500</v>
      </c>
      <c r="D17" s="7">
        <v>1200</v>
      </c>
      <c r="E17" s="7">
        <v>15000</v>
      </c>
      <c r="F17" s="7">
        <v>8000</v>
      </c>
      <c r="G17" s="7">
        <v>1800</v>
      </c>
      <c r="H17" s="7">
        <v>2500</v>
      </c>
      <c r="I17" s="7">
        <v>3500</v>
      </c>
      <c r="J17" s="7">
        <v>5000</v>
      </c>
      <c r="K17" s="7">
        <v>22000</v>
      </c>
      <c r="P17" t="str">
        <v>O002</v>
      </c>
      <c r="Q17" t="str">
        <v>Mouse</v>
      </c>
      <c r="R17">
        <v>5</v>
      </c>
      <c r="S17">
        <v>500</v>
      </c>
      <c r="T17" t="str">
        <v>Priya</v>
      </c>
      <c r="U17" t="str">
        <v>Mumbai</v>
      </c>
    </row>
    <row r="18" spans="1:21" ht="28.8" x14ac:dyDescent="0.3">
      <c r="A18" s="6" t="s">
        <v>98</v>
      </c>
      <c r="B18" s="7" t="s">
        <v>9</v>
      </c>
      <c r="C18" s="7" t="s">
        <v>14</v>
      </c>
      <c r="D18" s="7" t="s">
        <v>19</v>
      </c>
      <c r="E18" s="7" t="s">
        <v>23</v>
      </c>
      <c r="F18" s="7" t="s">
        <v>27</v>
      </c>
      <c r="G18" s="7" t="s">
        <v>30</v>
      </c>
      <c r="H18" s="7" t="s">
        <v>33</v>
      </c>
      <c r="I18" s="7" t="s">
        <v>36</v>
      </c>
      <c r="J18" s="7" t="s">
        <v>38</v>
      </c>
      <c r="K18" s="7" t="s">
        <v>41</v>
      </c>
      <c r="P18" t="str">
        <v>O003</v>
      </c>
      <c r="Q18" t="str">
        <v>Keyboard</v>
      </c>
      <c r="R18">
        <v>3</v>
      </c>
      <c r="S18">
        <v>1200</v>
      </c>
      <c r="T18" t="str">
        <v>Amit</v>
      </c>
      <c r="U18" t="str">
        <v>Jaipur</v>
      </c>
    </row>
    <row r="19" spans="1:21" ht="28.8" x14ac:dyDescent="0.3">
      <c r="A19" s="6" t="s">
        <v>6</v>
      </c>
      <c r="B19" s="7" t="s">
        <v>11</v>
      </c>
      <c r="C19" s="7" t="s">
        <v>16</v>
      </c>
      <c r="D19" s="7" t="s">
        <v>34</v>
      </c>
      <c r="E19" s="7" t="s">
        <v>11</v>
      </c>
      <c r="F19" s="7" t="s">
        <v>21</v>
      </c>
      <c r="G19" s="7" t="s">
        <v>31</v>
      </c>
      <c r="H19" s="7" t="s">
        <v>11</v>
      </c>
      <c r="I19" s="7" t="s">
        <v>44</v>
      </c>
      <c r="J19" s="7" t="s">
        <v>39</v>
      </c>
      <c r="K19" s="7" t="s">
        <v>49</v>
      </c>
      <c r="P19" t="str">
        <v>O004</v>
      </c>
      <c r="Q19" t="str">
        <v>Monitor</v>
      </c>
      <c r="R19">
        <v>1</v>
      </c>
      <c r="S19">
        <v>15000</v>
      </c>
      <c r="T19" t="str">
        <v>Neha</v>
      </c>
      <c r="U19" t="str">
        <v>Delhi</v>
      </c>
    </row>
    <row r="20" spans="1:21" x14ac:dyDescent="0.3">
      <c r="P20" t="str">
        <v>O005</v>
      </c>
      <c r="Q20" t="str">
        <v>Printer</v>
      </c>
      <c r="R20">
        <v>2</v>
      </c>
      <c r="S20">
        <v>8000</v>
      </c>
      <c r="T20" t="str">
        <v>Arjun</v>
      </c>
      <c r="U20" t="str">
        <v>Pune</v>
      </c>
    </row>
    <row r="21" spans="1:21" x14ac:dyDescent="0.3">
      <c r="A21" s="6" t="s">
        <v>94</v>
      </c>
      <c r="B21" s="6" t="s">
        <v>95</v>
      </c>
      <c r="C21" s="6" t="s">
        <v>96</v>
      </c>
      <c r="D21" s="6" t="s">
        <v>97</v>
      </c>
      <c r="E21" s="6" t="s">
        <v>98</v>
      </c>
      <c r="F21" s="6" t="s">
        <v>6</v>
      </c>
      <c r="J21" s="8"/>
      <c r="K21" s="9"/>
      <c r="L21" s="9"/>
      <c r="M21" s="9"/>
      <c r="N21" s="9"/>
      <c r="O21" s="10"/>
      <c r="P21" t="str">
        <v>O006</v>
      </c>
      <c r="Q21" t="str">
        <v>Webcam</v>
      </c>
      <c r="R21">
        <v>4</v>
      </c>
      <c r="S21">
        <v>1800</v>
      </c>
      <c r="T21" t="str">
        <v>Simran</v>
      </c>
      <c r="U21" t="str">
        <v>Chandigarh</v>
      </c>
    </row>
    <row r="22" spans="1:21" x14ac:dyDescent="0.3">
      <c r="A22" s="7" t="s">
        <v>99</v>
      </c>
      <c r="B22" s="7" t="s">
        <v>100</v>
      </c>
      <c r="C22" s="7">
        <v>2</v>
      </c>
      <c r="D22" s="7">
        <v>45000</v>
      </c>
      <c r="E22" s="7" t="s">
        <v>9</v>
      </c>
      <c r="F22" s="7" t="s">
        <v>11</v>
      </c>
      <c r="J22" s="11"/>
      <c r="K22" s="12"/>
      <c r="L22" s="12"/>
      <c r="M22" s="12"/>
      <c r="N22" s="12"/>
      <c r="O22" s="13"/>
      <c r="P22" t="str">
        <v>O007</v>
      </c>
      <c r="Q22" t="str">
        <v>Headphones</v>
      </c>
      <c r="R22">
        <v>6</v>
      </c>
      <c r="S22">
        <v>2500</v>
      </c>
      <c r="T22" t="str">
        <v>Karan</v>
      </c>
      <c r="U22" t="str">
        <v>Delhi</v>
      </c>
    </row>
    <row r="23" spans="1:21" x14ac:dyDescent="0.3">
      <c r="A23" s="7" t="s">
        <v>101</v>
      </c>
      <c r="B23" s="7" t="s">
        <v>102</v>
      </c>
      <c r="C23" s="7">
        <v>5</v>
      </c>
      <c r="D23" s="7">
        <v>500</v>
      </c>
      <c r="E23" s="7" t="s">
        <v>14</v>
      </c>
      <c r="F23" s="7" t="s">
        <v>16</v>
      </c>
      <c r="J23" s="11"/>
      <c r="K23" s="12"/>
      <c r="L23" s="12"/>
      <c r="M23" s="12"/>
      <c r="N23" s="12"/>
      <c r="O23" s="13"/>
      <c r="P23" t="str">
        <v>O008</v>
      </c>
      <c r="Q23" t="str">
        <v>Speaker</v>
      </c>
      <c r="R23">
        <v>2</v>
      </c>
      <c r="S23">
        <v>3500</v>
      </c>
      <c r="T23" t="str">
        <v>Riya</v>
      </c>
      <c r="U23" t="str">
        <v>Lucknow</v>
      </c>
    </row>
    <row r="24" spans="1:21" x14ac:dyDescent="0.3">
      <c r="A24" s="7" t="s">
        <v>103</v>
      </c>
      <c r="B24" s="7" t="s">
        <v>104</v>
      </c>
      <c r="C24" s="7">
        <v>3</v>
      </c>
      <c r="D24" s="7">
        <v>1200</v>
      </c>
      <c r="E24" s="7" t="s">
        <v>19</v>
      </c>
      <c r="F24" s="7" t="s">
        <v>34</v>
      </c>
      <c r="J24" s="11"/>
      <c r="K24" s="12"/>
      <c r="L24" s="12"/>
      <c r="M24" s="12"/>
      <c r="N24" s="12"/>
      <c r="O24" s="13"/>
      <c r="P24" t="str">
        <v>O009</v>
      </c>
      <c r="Q24" t="str">
        <v>SSD</v>
      </c>
      <c r="R24">
        <v>3</v>
      </c>
      <c r="S24">
        <v>5000</v>
      </c>
      <c r="T24" t="str">
        <v>Mohit</v>
      </c>
      <c r="U24" t="str">
        <v>Noida</v>
      </c>
    </row>
    <row r="25" spans="1:21" x14ac:dyDescent="0.3">
      <c r="A25" s="7" t="s">
        <v>105</v>
      </c>
      <c r="B25" s="7" t="s">
        <v>106</v>
      </c>
      <c r="C25" s="7">
        <v>1</v>
      </c>
      <c r="D25" s="7">
        <v>15000</v>
      </c>
      <c r="E25" s="7" t="s">
        <v>23</v>
      </c>
      <c r="F25" s="7" t="s">
        <v>11</v>
      </c>
      <c r="J25" s="11"/>
      <c r="K25" s="12"/>
      <c r="L25" s="12"/>
      <c r="M25" s="12"/>
      <c r="N25" s="12"/>
      <c r="O25" s="13"/>
      <c r="P25" t="str">
        <v>O010</v>
      </c>
      <c r="Q25" t="str">
        <v>Tablet</v>
      </c>
      <c r="R25">
        <v>1</v>
      </c>
      <c r="S25">
        <v>22000</v>
      </c>
      <c r="T25" t="str">
        <v>Anjali</v>
      </c>
      <c r="U25" t="str">
        <v>Gurgaon</v>
      </c>
    </row>
    <row r="26" spans="1:21" x14ac:dyDescent="0.3">
      <c r="A26" s="7" t="s">
        <v>107</v>
      </c>
      <c r="B26" s="7" t="s">
        <v>108</v>
      </c>
      <c r="C26" s="7">
        <v>2</v>
      </c>
      <c r="D26" s="7">
        <v>8000</v>
      </c>
      <c r="E26" s="7" t="s">
        <v>27</v>
      </c>
      <c r="F26" s="7" t="s">
        <v>21</v>
      </c>
      <c r="J26" s="11"/>
      <c r="K26" s="12"/>
      <c r="L26" s="12"/>
      <c r="M26" s="12"/>
      <c r="N26" s="12"/>
      <c r="O26" s="13"/>
    </row>
    <row r="27" spans="1:21" ht="28.8" x14ac:dyDescent="0.3">
      <c r="A27" s="7" t="s">
        <v>109</v>
      </c>
      <c r="B27" s="7" t="s">
        <v>110</v>
      </c>
      <c r="C27" s="7">
        <v>4</v>
      </c>
      <c r="D27" s="7">
        <v>1800</v>
      </c>
      <c r="E27" s="7" t="s">
        <v>30</v>
      </c>
      <c r="F27" s="7" t="s">
        <v>31</v>
      </c>
      <c r="J27" s="11"/>
      <c r="K27" s="12"/>
      <c r="L27" s="12"/>
      <c r="M27" s="12"/>
      <c r="N27" s="12"/>
      <c r="O27" s="13"/>
    </row>
    <row r="28" spans="1:21" ht="28.8" x14ac:dyDescent="0.3">
      <c r="A28" s="7" t="s">
        <v>111</v>
      </c>
      <c r="B28" s="7" t="s">
        <v>112</v>
      </c>
      <c r="C28" s="7">
        <v>6</v>
      </c>
      <c r="D28" s="7">
        <v>2500</v>
      </c>
      <c r="E28" s="7" t="s">
        <v>33</v>
      </c>
      <c r="F28" s="7" t="s">
        <v>11</v>
      </c>
      <c r="J28" s="11"/>
      <c r="K28" s="12"/>
      <c r="L28" s="12"/>
      <c r="M28" s="12"/>
      <c r="N28" s="12"/>
      <c r="O28" s="13"/>
    </row>
    <row r="29" spans="1:21" x14ac:dyDescent="0.3">
      <c r="A29" s="7" t="s">
        <v>113</v>
      </c>
      <c r="B29" s="7" t="s">
        <v>114</v>
      </c>
      <c r="C29" s="7">
        <v>2</v>
      </c>
      <c r="D29" s="7">
        <v>3500</v>
      </c>
      <c r="E29" s="7" t="s">
        <v>36</v>
      </c>
      <c r="F29" s="7" t="s">
        <v>44</v>
      </c>
      <c r="J29" s="11"/>
      <c r="K29" s="12"/>
      <c r="L29" s="12"/>
      <c r="M29" s="12"/>
      <c r="N29" s="12"/>
      <c r="O29" s="13"/>
    </row>
    <row r="30" spans="1:21" x14ac:dyDescent="0.3">
      <c r="A30" s="7" t="s">
        <v>115</v>
      </c>
      <c r="B30" s="7" t="s">
        <v>116</v>
      </c>
      <c r="C30" s="7">
        <v>3</v>
      </c>
      <c r="D30" s="7">
        <v>5000</v>
      </c>
      <c r="E30" s="7" t="s">
        <v>38</v>
      </c>
      <c r="F30" s="7" t="s">
        <v>39</v>
      </c>
      <c r="J30" s="11"/>
      <c r="K30" s="12"/>
      <c r="L30" s="12"/>
      <c r="M30" s="12"/>
      <c r="N30" s="12"/>
      <c r="O30" s="13"/>
    </row>
    <row r="31" spans="1:21" x14ac:dyDescent="0.3">
      <c r="A31" s="7" t="s">
        <v>117</v>
      </c>
      <c r="B31" s="7" t="s">
        <v>118</v>
      </c>
      <c r="C31" s="7">
        <v>1</v>
      </c>
      <c r="D31" s="7">
        <v>22000</v>
      </c>
      <c r="E31" s="7" t="s">
        <v>41</v>
      </c>
      <c r="F31" s="7" t="s">
        <v>49</v>
      </c>
      <c r="J31" s="14"/>
      <c r="K31" s="15"/>
      <c r="L31" s="15"/>
      <c r="M31" s="15"/>
      <c r="N31" s="15"/>
      <c r="O31" s="16"/>
    </row>
    <row r="35" spans="1:5" x14ac:dyDescent="0.3">
      <c r="A35" s="12" t="s">
        <v>100</v>
      </c>
      <c r="B35" s="12" t="s">
        <v>100</v>
      </c>
      <c r="C35" s="12" t="s">
        <v>100</v>
      </c>
      <c r="D35">
        <v>260</v>
      </c>
      <c r="E35">
        <v>1260</v>
      </c>
    </row>
    <row r="36" spans="1:5" x14ac:dyDescent="0.3">
      <c r="A36" s="12"/>
      <c r="B36" s="12" t="s">
        <v>102</v>
      </c>
      <c r="C36" s="12"/>
      <c r="D36">
        <v>940</v>
      </c>
      <c r="E36">
        <v>1140</v>
      </c>
    </row>
    <row r="37" spans="1:5" x14ac:dyDescent="0.3">
      <c r="A37" s="12"/>
      <c r="B37" s="12" t="s">
        <v>104</v>
      </c>
      <c r="C37" s="12"/>
      <c r="D37">
        <v>1300</v>
      </c>
      <c r="E37">
        <v>1020</v>
      </c>
    </row>
    <row r="38" spans="1:5" x14ac:dyDescent="0.3">
      <c r="A38" s="12" t="s">
        <v>106</v>
      </c>
      <c r="B38" s="12" t="s">
        <v>106</v>
      </c>
      <c r="C38" s="12" t="s">
        <v>106</v>
      </c>
      <c r="D38">
        <v>780</v>
      </c>
      <c r="E38">
        <v>300</v>
      </c>
    </row>
    <row r="39" spans="1:5" x14ac:dyDescent="0.3">
      <c r="A39" s="12" t="s">
        <v>108</v>
      </c>
      <c r="B39" s="12" t="s">
        <v>108</v>
      </c>
      <c r="C39" s="12" t="s">
        <v>108</v>
      </c>
      <c r="D39">
        <v>780</v>
      </c>
      <c r="E39">
        <v>440</v>
      </c>
    </row>
    <row r="40" spans="1:5" x14ac:dyDescent="0.3">
      <c r="A40" s="12" t="s">
        <v>110</v>
      </c>
      <c r="B40" s="12" t="s">
        <v>110</v>
      </c>
      <c r="C40" s="12" t="s">
        <v>110</v>
      </c>
    </row>
    <row r="43" spans="1:5" x14ac:dyDescent="0.3">
      <c r="E43">
        <v>20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7CB4BC7-4197-4FE3-8CD9-502426ADDDB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3F70423-9A22-438C-95B2-075EAE1A3D2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paste 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2026-06-18T17:33:57Z</dcterms:created>
  <dcterms:modified xsi:type="dcterms:W3CDTF">2026-06-19T18:11:58Z</dcterms:modified>
</cp:coreProperties>
</file>