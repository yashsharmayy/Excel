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8_{686B273F-FB52-4CE9-B33E-E09DCE714D62}" xr6:coauthVersionLast="47" xr6:coauthVersionMax="47" xr10:uidLastSave="{00000000-0000-0000-0000-000000000000}"/>
  <bookViews>
    <workbookView xWindow="-108" yWindow="-108" windowWidth="23256" windowHeight="12456" xr2:uid="{F3AA2008-048D-46A3-9C71-3FA174955A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C10" i="1"/>
  <c r="O3" i="1"/>
  <c r="O4" i="1"/>
  <c r="O5" i="1"/>
  <c r="O6" i="1"/>
  <c r="O7" i="1"/>
  <c r="O2" i="1"/>
  <c r="L3" i="1"/>
  <c r="L4" i="1"/>
  <c r="L5" i="1"/>
  <c r="L6" i="1"/>
  <c r="L7" i="1"/>
  <c r="L2" i="1"/>
  <c r="K2" i="1"/>
  <c r="K3" i="1"/>
  <c r="K4" i="1"/>
  <c r="K5" i="1"/>
  <c r="K6" i="1"/>
  <c r="K7" i="1"/>
  <c r="J3" i="1"/>
  <c r="J4" i="1"/>
  <c r="J5" i="1"/>
  <c r="J6" i="1"/>
  <c r="J7" i="1"/>
  <c r="J2" i="1"/>
  <c r="D8" i="1"/>
  <c r="E8" i="1"/>
  <c r="F8" i="1"/>
  <c r="G8" i="1"/>
  <c r="C8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<sst xmlns="http://schemas.openxmlformats.org/spreadsheetml/2006/main" count="22" uniqueCount="22">
  <si>
    <t>name of student</t>
  </si>
  <si>
    <t xml:space="preserve">sr no   </t>
  </si>
  <si>
    <t>A</t>
  </si>
  <si>
    <t>sub1</t>
  </si>
  <si>
    <t>sub2</t>
  </si>
  <si>
    <t>sub3</t>
  </si>
  <si>
    <t>sub4</t>
  </si>
  <si>
    <t>Total</t>
  </si>
  <si>
    <t>B</t>
  </si>
  <si>
    <t>D</t>
  </si>
  <si>
    <t>E</t>
  </si>
  <si>
    <t>F</t>
  </si>
  <si>
    <t>C</t>
  </si>
  <si>
    <t>Max</t>
  </si>
  <si>
    <t>Min</t>
  </si>
  <si>
    <t>Average</t>
  </si>
  <si>
    <t>Percentage%</t>
  </si>
  <si>
    <t>Result</t>
  </si>
  <si>
    <t xml:space="preserve"> </t>
  </si>
  <si>
    <t>Age</t>
  </si>
  <si>
    <t>Eligible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</si>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</sst>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6636EB5-B080-4EFC-936F-1F009C261BC6}">
  <we:reference id="wa200005502" version="1.0.0.11" store="en-U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B53CB2E-4A5B-4345-B740-7FE1179AE679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15D1-F70C-439E-AEB7-EA333400CFD5}">
  <dimension ref="A1:O13"/>
  <sheetViews>
    <sheetView tabSelected="1" zoomScale="130" zoomScaleNormal="130" workbookViewId="0">
      <selection activeCell="C12" sqref="C12"/>
    </sheetView>
  </sheetViews>
  <sheetFormatPr defaultRowHeight="14.4" x14ac:dyDescent="0.3"/>
  <cols>
    <col min="1" max="1" width="6.5546875" bestFit="1" customWidth="1"/>
    <col min="2" max="2" width="15" bestFit="1" customWidth="1"/>
    <col min="3" max="3" width="7.6640625" customWidth="1"/>
    <col min="4" max="4" width="8" customWidth="1"/>
    <col min="5" max="5" width="7.88671875" customWidth="1"/>
    <col min="6" max="6" width="7.33203125" customWidth="1"/>
    <col min="7" max="7" width="7.6640625" customWidth="1"/>
    <col min="11" max="11" width="11.6640625" bestFit="1" customWidth="1"/>
    <col min="15" max="15" width="10.33203125" bestFit="1" customWidth="1"/>
  </cols>
  <sheetData>
    <row r="1" spans="1:15" x14ac:dyDescent="0.3">
      <c r="A1" s="2" t="s">
        <v>1</v>
      </c>
      <c r="B1" s="3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N1" s="2" t="s">
        <v>19</v>
      </c>
      <c r="O1" s="2" t="s">
        <v>20</v>
      </c>
    </row>
    <row r="2" spans="1:15" x14ac:dyDescent="0.3">
      <c r="A2" s="2">
        <v>5</v>
      </c>
      <c r="B2" s="2" t="s">
        <v>2</v>
      </c>
      <c r="C2" s="1">
        <v>83</v>
      </c>
      <c r="D2" s="1">
        <v>39</v>
      </c>
      <c r="E2" s="1">
        <v>21</v>
      </c>
      <c r="F2" s="1">
        <v>61</v>
      </c>
      <c r="G2" s="1">
        <f>SUM(C2:F2)</f>
        <v>204</v>
      </c>
      <c r="H2">
        <f>MAX(C2:F2)</f>
        <v>83</v>
      </c>
      <c r="I2">
        <f>MIN(C2:F2)</f>
        <v>21</v>
      </c>
      <c r="J2" s="5">
        <f>AVERAGE(C2:F2)</f>
        <v>51</v>
      </c>
      <c r="K2" s="6">
        <f>G2/4</f>
        <v>51</v>
      </c>
      <c r="L2" t="str">
        <f>IF(K2&gt;=35,"Pass","Fail")</f>
        <v>Pass</v>
      </c>
      <c r="N2">
        <v>3</v>
      </c>
      <c r="O2" t="str">
        <f>IF(N2&gt;=18,"Eligible","not Eligible")</f>
        <v>not Eligible</v>
      </c>
    </row>
    <row r="3" spans="1:15" x14ac:dyDescent="0.3">
      <c r="A3" s="2">
        <v>10</v>
      </c>
      <c r="B3" s="2" t="s">
        <v>8</v>
      </c>
      <c r="C3" s="1">
        <v>19</v>
      </c>
      <c r="D3" s="1">
        <v>87</v>
      </c>
      <c r="E3" s="1">
        <v>21</v>
      </c>
      <c r="F3" s="1">
        <v>73</v>
      </c>
      <c r="G3" s="1">
        <f t="shared" ref="G3:G13" si="0">SUM(C3:F3)</f>
        <v>200</v>
      </c>
      <c r="H3">
        <f t="shared" ref="H3:H7" si="1">MAX(C3:F3)</f>
        <v>87</v>
      </c>
      <c r="I3">
        <f t="shared" ref="I3:I7" si="2">MIN(C3:F3)</f>
        <v>19</v>
      </c>
      <c r="J3" s="5">
        <f t="shared" ref="J3:J7" si="3">AVERAGE(C3:F3)</f>
        <v>50</v>
      </c>
      <c r="K3" s="6">
        <f t="shared" ref="K3:K7" si="4">G3/4</f>
        <v>50</v>
      </c>
      <c r="L3" t="str">
        <f t="shared" ref="L3:L7" si="5">IF(K3&gt;=35,"Pass","Fail")</f>
        <v>Pass</v>
      </c>
      <c r="M3" t="s">
        <v>18</v>
      </c>
      <c r="N3">
        <v>43</v>
      </c>
      <c r="O3" t="str">
        <f t="shared" ref="O3:O7" si="6">IF(N3&gt;=18,"Eligible","not Eligible")</f>
        <v>Eligible</v>
      </c>
    </row>
    <row r="4" spans="1:15" x14ac:dyDescent="0.3">
      <c r="A4" s="2">
        <v>15</v>
      </c>
      <c r="B4" s="2" t="s">
        <v>12</v>
      </c>
      <c r="C4" s="1">
        <v>32</v>
      </c>
      <c r="D4" s="1">
        <v>23</v>
      </c>
      <c r="E4" s="1">
        <v>99</v>
      </c>
      <c r="F4" s="1">
        <v>54</v>
      </c>
      <c r="G4" s="1">
        <f t="shared" si="0"/>
        <v>208</v>
      </c>
      <c r="H4">
        <f t="shared" si="1"/>
        <v>99</v>
      </c>
      <c r="I4">
        <f t="shared" si="2"/>
        <v>23</v>
      </c>
      <c r="J4" s="5">
        <f t="shared" si="3"/>
        <v>52</v>
      </c>
      <c r="K4" s="6">
        <f t="shared" si="4"/>
        <v>52</v>
      </c>
      <c r="L4" t="str">
        <f t="shared" si="5"/>
        <v>Pass</v>
      </c>
      <c r="N4">
        <v>43</v>
      </c>
      <c r="O4" t="str">
        <f t="shared" si="6"/>
        <v>Eligible</v>
      </c>
    </row>
    <row r="5" spans="1:15" x14ac:dyDescent="0.3">
      <c r="A5" s="2">
        <v>20</v>
      </c>
      <c r="B5" s="2" t="s">
        <v>9</v>
      </c>
      <c r="C5" s="1">
        <v>86</v>
      </c>
      <c r="D5" s="1">
        <v>45</v>
      </c>
      <c r="E5" s="1">
        <v>14</v>
      </c>
      <c r="F5" s="1">
        <v>82</v>
      </c>
      <c r="G5" s="1">
        <f t="shared" si="0"/>
        <v>227</v>
      </c>
      <c r="H5">
        <f t="shared" si="1"/>
        <v>86</v>
      </c>
      <c r="I5">
        <f t="shared" si="2"/>
        <v>14</v>
      </c>
      <c r="J5" s="5">
        <f t="shared" si="3"/>
        <v>56.75</v>
      </c>
      <c r="K5" s="6">
        <f t="shared" si="4"/>
        <v>56.75</v>
      </c>
      <c r="L5" t="str">
        <f t="shared" si="5"/>
        <v>Pass</v>
      </c>
      <c r="N5">
        <v>35</v>
      </c>
      <c r="O5" t="str">
        <f t="shared" si="6"/>
        <v>Eligible</v>
      </c>
    </row>
    <row r="6" spans="1:15" x14ac:dyDescent="0.3">
      <c r="A6" s="2">
        <v>25</v>
      </c>
      <c r="B6" s="2" t="s">
        <v>10</v>
      </c>
      <c r="C6" s="1">
        <v>80</v>
      </c>
      <c r="D6" s="1">
        <v>39</v>
      </c>
      <c r="E6" s="1">
        <v>70</v>
      </c>
      <c r="F6" s="1">
        <v>30</v>
      </c>
      <c r="G6" s="1">
        <f t="shared" si="0"/>
        <v>219</v>
      </c>
      <c r="H6">
        <f t="shared" si="1"/>
        <v>80</v>
      </c>
      <c r="I6">
        <f t="shared" si="2"/>
        <v>30</v>
      </c>
      <c r="J6" s="5">
        <f t="shared" si="3"/>
        <v>54.75</v>
      </c>
      <c r="K6" s="6">
        <f t="shared" si="4"/>
        <v>54.75</v>
      </c>
      <c r="L6" t="str">
        <f t="shared" si="5"/>
        <v>Pass</v>
      </c>
      <c r="N6">
        <v>7</v>
      </c>
      <c r="O6" t="str">
        <f t="shared" si="6"/>
        <v>not Eligible</v>
      </c>
    </row>
    <row r="7" spans="1:15" x14ac:dyDescent="0.3">
      <c r="A7" s="2">
        <v>30</v>
      </c>
      <c r="B7" s="2" t="s">
        <v>11</v>
      </c>
      <c r="C7" s="1">
        <v>31</v>
      </c>
      <c r="D7" s="1">
        <v>29</v>
      </c>
      <c r="E7" s="1">
        <v>18</v>
      </c>
      <c r="F7" s="1">
        <v>10</v>
      </c>
      <c r="G7" s="1">
        <f t="shared" si="0"/>
        <v>88</v>
      </c>
      <c r="H7">
        <f t="shared" si="1"/>
        <v>31</v>
      </c>
      <c r="I7">
        <f t="shared" si="2"/>
        <v>10</v>
      </c>
      <c r="J7" s="5">
        <f t="shared" si="3"/>
        <v>22</v>
      </c>
      <c r="K7" s="6">
        <f t="shared" si="4"/>
        <v>22</v>
      </c>
      <c r="L7" t="str">
        <f t="shared" si="5"/>
        <v>Fail</v>
      </c>
      <c r="N7">
        <v>35</v>
      </c>
      <c r="O7" t="str">
        <f t="shared" si="6"/>
        <v>Eligible</v>
      </c>
    </row>
    <row r="8" spans="1:15" x14ac:dyDescent="0.3">
      <c r="C8" s="4">
        <f>MIN(C2:C7)</f>
        <v>19</v>
      </c>
      <c r="D8" s="4">
        <f t="shared" ref="D8:G8" si="7">MIN(D2:D7)</f>
        <v>23</v>
      </c>
      <c r="E8" s="4">
        <f t="shared" si="7"/>
        <v>14</v>
      </c>
      <c r="F8" s="4">
        <f t="shared" si="7"/>
        <v>10</v>
      </c>
      <c r="G8" s="4">
        <f t="shared" si="7"/>
        <v>88</v>
      </c>
    </row>
    <row r="9" spans="1:15" x14ac:dyDescent="0.3">
      <c r="C9" s="1"/>
      <c r="D9" s="1"/>
      <c r="E9" s="1"/>
      <c r="F9" s="1"/>
      <c r="G9" s="1"/>
    </row>
    <row r="10" spans="1:15" x14ac:dyDescent="0.3">
      <c r="B10" s="2" t="s">
        <v>21</v>
      </c>
      <c r="C10" s="1">
        <f>COUNT(C2:C7)</f>
        <v>6</v>
      </c>
      <c r="D10" s="1">
        <f t="shared" ref="D10:G10" si="8">COUNT(D2:D7)</f>
        <v>6</v>
      </c>
      <c r="E10" s="1">
        <f t="shared" si="8"/>
        <v>6</v>
      </c>
      <c r="F10" s="1">
        <f t="shared" si="8"/>
        <v>6</v>
      </c>
      <c r="G10" s="1">
        <f t="shared" si="8"/>
        <v>6</v>
      </c>
    </row>
    <row r="11" spans="1:15" x14ac:dyDescent="0.3">
      <c r="C11" s="1"/>
      <c r="D11" s="1"/>
      <c r="E11" s="1"/>
      <c r="F11" s="1"/>
      <c r="G11" s="1"/>
    </row>
    <row r="12" spans="1:15" x14ac:dyDescent="0.3">
      <c r="C12" s="1"/>
      <c r="D12" s="1"/>
      <c r="E12" s="1"/>
      <c r="F12" s="1"/>
      <c r="G12" s="1"/>
    </row>
    <row r="13" spans="1:15" x14ac:dyDescent="0.3">
      <c r="C13" s="1"/>
      <c r="D13" s="1"/>
      <c r="E13" s="1"/>
      <c r="F13" s="1"/>
      <c r="G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2026-06-02T05:13:15Z</dcterms:created>
  <dcterms:modified xsi:type="dcterms:W3CDTF">2026-06-15T13:19:06Z</dcterms:modified>
</cp:coreProperties>
</file>