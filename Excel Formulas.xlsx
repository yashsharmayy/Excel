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0B9CFF1F-9AE5-4B65-A97A-2A595E3A3775}" xr6:coauthVersionLast="47" xr6:coauthVersionMax="47" xr10:uidLastSave="{00000000-0000-0000-0000-000000000000}"/>
  <bookViews>
    <workbookView xWindow="13728" yWindow="0" windowWidth="9408" windowHeight="12336" firstSheet="14" activeTab="14" xr2:uid="{C87407EE-72E0-44A2-AA1E-11EC2C771F99}"/>
  </bookViews>
  <sheets>
    <sheet name="frequency" sheetId="1" r:id="rId1"/>
    <sheet name="index and match" sheetId="2" r:id="rId2"/>
    <sheet name="LOOKUP" sheetId="3" r:id="rId3"/>
    <sheet name="VLOOKUP" sheetId="4" r:id="rId4"/>
    <sheet name="hlookup" sheetId="5" r:id="rId5"/>
    <sheet name="sumif" sheetId="6" r:id="rId6"/>
    <sheet name="countif" sheetId="9" r:id="rId7"/>
    <sheet name="countA and countBlank" sheetId="10" r:id="rId8"/>
    <sheet name="AvgrageIF and average ifs" sheetId="11" r:id="rId9"/>
    <sheet name="subtotal" sheetId="12" r:id="rId10"/>
    <sheet name="subproduct" sheetId="13" r:id="rId11"/>
    <sheet name="IF Formula" sheetId="14" r:id="rId12"/>
    <sheet name="left , Mid , right , find" sheetId="15" r:id="rId13"/>
    <sheet name="repeat  &amp; substitue" sheetId="16" r:id="rId14"/>
    <sheet name="| Loan Amount | Annual Rate | Y" sheetId="17" r:id="rId15"/>
  </sheets>
  <definedNames>
    <definedName name="booktable">'countA and countBlank'!$B$2:$H$16</definedName>
    <definedName name="list">Table1[#All]</definedName>
    <definedName name="list1">Table1[#All]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7" l="1"/>
  <c r="C20" i="17"/>
  <c r="C21" i="17" s="1"/>
  <c r="C22" i="17" s="1"/>
  <c r="F4" i="16"/>
  <c r="F3" i="16"/>
  <c r="F2" i="16"/>
  <c r="C3" i="16"/>
  <c r="C4" i="16"/>
  <c r="C5" i="16"/>
  <c r="C6" i="16"/>
  <c r="C2" i="16"/>
  <c r="F2" i="15"/>
  <c r="F3" i="15"/>
  <c r="F4" i="15"/>
  <c r="F5" i="15"/>
  <c r="F6" i="15"/>
  <c r="F7" i="15"/>
  <c r="F8" i="15"/>
  <c r="G3" i="15"/>
  <c r="G4" i="15"/>
  <c r="G5" i="15"/>
  <c r="G6" i="15"/>
  <c r="G7" i="15"/>
  <c r="G8" i="15"/>
  <c r="G2" i="15"/>
  <c r="D3" i="15"/>
  <c r="D4" i="15"/>
  <c r="D5" i="15"/>
  <c r="D6" i="15"/>
  <c r="D7" i="15"/>
  <c r="D8" i="15"/>
  <c r="D2" i="15"/>
  <c r="C2" i="15" a="1"/>
  <c r="C2" i="15" s="1"/>
  <c r="B2" i="15" a="1"/>
  <c r="B2" i="15" s="1"/>
  <c r="J3" i="14"/>
  <c r="J4" i="14"/>
  <c r="J5" i="14"/>
  <c r="J6" i="14"/>
  <c r="J7" i="14"/>
  <c r="J8" i="14"/>
  <c r="J9" i="14"/>
  <c r="J10" i="14"/>
  <c r="J11" i="14"/>
  <c r="J2" i="14"/>
  <c r="I2" i="14"/>
  <c r="I3" i="14"/>
  <c r="I4" i="14"/>
  <c r="I5" i="14"/>
  <c r="I6" i="14"/>
  <c r="I7" i="14"/>
  <c r="I8" i="14"/>
  <c r="I9" i="14"/>
  <c r="I10" i="14"/>
  <c r="I11" i="14"/>
  <c r="H2" i="14"/>
  <c r="H3" i="14"/>
  <c r="H4" i="14"/>
  <c r="H5" i="14"/>
  <c r="H6" i="14"/>
  <c r="H7" i="14"/>
  <c r="H8" i="14"/>
  <c r="H9" i="14"/>
  <c r="H10" i="14"/>
  <c r="H11" i="14"/>
  <c r="G3" i="14"/>
  <c r="G4" i="14"/>
  <c r="G5" i="14"/>
  <c r="G6" i="14"/>
  <c r="G7" i="14"/>
  <c r="G8" i="14"/>
  <c r="G9" i="14"/>
  <c r="G10" i="14"/>
  <c r="G11" i="14"/>
  <c r="G2" i="14"/>
  <c r="H13" i="13"/>
  <c r="H12" i="13"/>
  <c r="H3" i="13"/>
  <c r="H4" i="13"/>
  <c r="H5" i="13"/>
  <c r="H6" i="13"/>
  <c r="H7" i="13"/>
  <c r="H8" i="13"/>
  <c r="H9" i="13"/>
  <c r="H10" i="13"/>
  <c r="H11" i="13"/>
  <c r="H2" i="13"/>
  <c r="I3" i="12"/>
  <c r="K10" i="11"/>
  <c r="K11" i="11"/>
  <c r="K12" i="11"/>
  <c r="J10" i="11"/>
  <c r="J11" i="11"/>
  <c r="J12" i="11"/>
  <c r="J6" i="11"/>
  <c r="J5" i="11"/>
  <c r="J4" i="11"/>
  <c r="K8" i="10"/>
  <c r="K7" i="10"/>
  <c r="K5" i="10"/>
  <c r="K4" i="10"/>
  <c r="K10" i="9"/>
  <c r="L10" i="9"/>
  <c r="J10" i="9"/>
  <c r="K9" i="9"/>
  <c r="L9" i="9"/>
  <c r="J9" i="9"/>
  <c r="J5" i="9"/>
  <c r="J4" i="9"/>
  <c r="K19" i="6"/>
  <c r="K20" i="6"/>
  <c r="K18" i="6"/>
  <c r="J20" i="6"/>
  <c r="J19" i="6"/>
  <c r="J18" i="6"/>
  <c r="I3" i="6"/>
  <c r="I4" i="6"/>
  <c r="I5" i="6"/>
  <c r="I2" i="6"/>
  <c r="H3" i="4"/>
  <c r="H4" i="4"/>
  <c r="D11" i="5"/>
  <c r="E11" i="5"/>
  <c r="F11" i="5"/>
  <c r="C11" i="5"/>
  <c r="H5" i="4"/>
  <c r="H2" i="4"/>
  <c r="G8" i="4"/>
  <c r="H2" i="3"/>
  <c r="J2" i="2"/>
  <c r="I2" i="2"/>
  <c r="H2" i="1" a="1"/>
  <c r="H4" i="1" s="1"/>
  <c r="H3" i="1" l="1"/>
  <c r="H2" i="1"/>
  <c r="H9" i="1"/>
  <c r="H8" i="1"/>
  <c r="H7" i="1"/>
  <c r="H6" i="1"/>
  <c r="H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<sst xmlns="http://schemas.openxmlformats.org/spreadsheetml/2006/main" count="833" uniqueCount="179">
  <si>
    <t>Emp ID</t>
  </si>
  <si>
    <t>Name</t>
  </si>
  <si>
    <t>Department</t>
  </si>
  <si>
    <t>Salary</t>
  </si>
  <si>
    <t>Experience (Years)</t>
  </si>
  <si>
    <t>E001</t>
  </si>
  <si>
    <t>Rahul</t>
  </si>
  <si>
    <t>Sales</t>
  </si>
  <si>
    <t>E002</t>
  </si>
  <si>
    <t>Priya</t>
  </si>
  <si>
    <t>HR</t>
  </si>
  <si>
    <t>E003</t>
  </si>
  <si>
    <t>Amit</t>
  </si>
  <si>
    <t>IT</t>
  </si>
  <si>
    <t>E004</t>
  </si>
  <si>
    <t>Neha</t>
  </si>
  <si>
    <t>Marketing</t>
  </si>
  <si>
    <t>E005</t>
  </si>
  <si>
    <t>Arjun</t>
  </si>
  <si>
    <t>E006</t>
  </si>
  <si>
    <t>Simran</t>
  </si>
  <si>
    <t>E007</t>
  </si>
  <si>
    <t>Karan</t>
  </si>
  <si>
    <t>E008</t>
  </si>
  <si>
    <t>Riya</t>
  </si>
  <si>
    <t>age</t>
  </si>
  <si>
    <t>Unique</t>
  </si>
  <si>
    <t>frequency</t>
  </si>
  <si>
    <t>index &amp; match</t>
  </si>
  <si>
    <t>Order ID</t>
  </si>
  <si>
    <t>Customer Name</t>
  </si>
  <si>
    <t>Product</t>
  </si>
  <si>
    <t>Quantity</t>
  </si>
  <si>
    <t>Price</t>
  </si>
  <si>
    <t>O001</t>
  </si>
  <si>
    <t>Laptop</t>
  </si>
  <si>
    <t>O002</t>
  </si>
  <si>
    <t>Mouse</t>
  </si>
  <si>
    <t>O003</t>
  </si>
  <si>
    <t>Keyboard</t>
  </si>
  <si>
    <t>O004</t>
  </si>
  <si>
    <t>Monitor</t>
  </si>
  <si>
    <t>O005</t>
  </si>
  <si>
    <t>Headphones</t>
  </si>
  <si>
    <t>O006</t>
  </si>
  <si>
    <t>Webcam</t>
  </si>
  <si>
    <t>O007</t>
  </si>
  <si>
    <t>Printer</t>
  </si>
  <si>
    <t>O008</t>
  </si>
  <si>
    <t>O009</t>
  </si>
  <si>
    <t>Mohit</t>
  </si>
  <si>
    <t>O010</t>
  </si>
  <si>
    <t>Anjali</t>
  </si>
  <si>
    <t>O011</t>
  </si>
  <si>
    <t>Deepak</t>
  </si>
  <si>
    <t>O012</t>
  </si>
  <si>
    <t>Pooja</t>
  </si>
  <si>
    <t>O013</t>
  </si>
  <si>
    <t>Vivek</t>
  </si>
  <si>
    <t>O014</t>
  </si>
  <si>
    <t>Sneha</t>
  </si>
  <si>
    <t>O015</t>
  </si>
  <si>
    <t>Rohit</t>
  </si>
  <si>
    <t>LOOkup</t>
  </si>
  <si>
    <t>product</t>
  </si>
  <si>
    <t>City</t>
  </si>
  <si>
    <t>Delhi</t>
  </si>
  <si>
    <t>Mumbai</t>
  </si>
  <si>
    <t>Jaipur</t>
  </si>
  <si>
    <t>Finance</t>
  </si>
  <si>
    <t>Pune</t>
  </si>
  <si>
    <t>Chandigarh</t>
  </si>
  <si>
    <t>Noida</t>
  </si>
  <si>
    <t>E009</t>
  </si>
  <si>
    <t>E010</t>
  </si>
  <si>
    <t>SUMIF</t>
  </si>
  <si>
    <t>SUMIFS</t>
  </si>
  <si>
    <t>Customer</t>
  </si>
  <si>
    <t>Category</t>
  </si>
  <si>
    <t>Amount</t>
  </si>
  <si>
    <t>Electronics</t>
  </si>
  <si>
    <t>Chair</t>
  </si>
  <si>
    <t>Furniture</t>
  </si>
  <si>
    <t>Table</t>
  </si>
  <si>
    <t>city</t>
  </si>
  <si>
    <t>Total</t>
  </si>
  <si>
    <t>counting</t>
  </si>
  <si>
    <t>CountIf</t>
  </si>
  <si>
    <t>CountIFs</t>
  </si>
  <si>
    <t>F</t>
  </si>
  <si>
    <t>seminar seat booking</t>
  </si>
  <si>
    <t>M</t>
  </si>
  <si>
    <t>BOOKED</t>
  </si>
  <si>
    <t>Pending</t>
  </si>
  <si>
    <t>Male</t>
  </si>
  <si>
    <t>Female</t>
  </si>
  <si>
    <t>avg if</t>
  </si>
  <si>
    <t>AverageIFS</t>
  </si>
  <si>
    <t>TOTAl</t>
  </si>
  <si>
    <t>total=</t>
  </si>
  <si>
    <t>sumproduct</t>
  </si>
  <si>
    <t>Experience</t>
  </si>
  <si>
    <t>Kavya</t>
  </si>
  <si>
    <t>Rohan</t>
  </si>
  <si>
    <t>bonus&gt;=45000</t>
  </si>
  <si>
    <t>(simple if)</t>
  </si>
  <si>
    <t xml:space="preserve">bonus   </t>
  </si>
  <si>
    <t>dept=IT</t>
  </si>
  <si>
    <t>bonus&gt;=50000</t>
  </si>
  <si>
    <t>if AND</t>
  </si>
  <si>
    <t>Bonus(and)</t>
  </si>
  <si>
    <t>Bonus(or)</t>
  </si>
  <si>
    <t>if OR</t>
  </si>
  <si>
    <t>Nested bonus</t>
  </si>
  <si>
    <t>IT = 5000</t>
  </si>
  <si>
    <t>HR = 3000</t>
  </si>
  <si>
    <t>finance = 4000</t>
  </si>
  <si>
    <t>Sales = 2000</t>
  </si>
  <si>
    <t>City and pincode</t>
  </si>
  <si>
    <t>Delhi - 110086</t>
  </si>
  <si>
    <t>Delhi - 110087</t>
  </si>
  <si>
    <t>Delhi - 110088</t>
  </si>
  <si>
    <t>Delhi - 110089</t>
  </si>
  <si>
    <t>Delhi - 110090</t>
  </si>
  <si>
    <t>Delhi - 110091</t>
  </si>
  <si>
    <t>Delhi - 110092</t>
  </si>
  <si>
    <t xml:space="preserve">Left </t>
  </si>
  <si>
    <t>Right</t>
  </si>
  <si>
    <t>Mumbai - 110087</t>
  </si>
  <si>
    <t>Pune- 110088</t>
  </si>
  <si>
    <t>channai - 110089</t>
  </si>
  <si>
    <t>jaipur- 110090</t>
  </si>
  <si>
    <t>bihar- 110091</t>
  </si>
  <si>
    <t>UK - 110092</t>
  </si>
  <si>
    <t>Mid</t>
  </si>
  <si>
    <t>Find</t>
  </si>
  <si>
    <t>Software</t>
  </si>
  <si>
    <t>ratings</t>
  </si>
  <si>
    <t>star</t>
  </si>
  <si>
    <t>Excel</t>
  </si>
  <si>
    <t>tally</t>
  </si>
  <si>
    <t>photoshop</t>
  </si>
  <si>
    <t>word</t>
  </si>
  <si>
    <t>powerpoint</t>
  </si>
  <si>
    <t xml:space="preserve"> </t>
  </si>
  <si>
    <t>Repeat</t>
  </si>
  <si>
    <t>Data</t>
  </si>
  <si>
    <t>after substitute</t>
  </si>
  <si>
    <t>987-854-7455</t>
  </si>
  <si>
    <t>delhi,110086</t>
  </si>
  <si>
    <t>yash ji</t>
  </si>
  <si>
    <t>Loan Amount</t>
  </si>
  <si>
    <t>Annual Rate</t>
  </si>
  <si>
    <t>Years</t>
  </si>
  <si>
    <t>Payments/Year</t>
  </si>
  <si>
    <t>Period</t>
  </si>
  <si>
    <t>PMT</t>
  </si>
  <si>
    <t>IPMT</t>
  </si>
  <si>
    <t>PPMT</t>
  </si>
  <si>
    <t>?</t>
  </si>
  <si>
    <t>payment Term</t>
  </si>
  <si>
    <t>Per annm</t>
  </si>
  <si>
    <t>Genral names</t>
  </si>
  <si>
    <t>INTERST RATE</t>
  </si>
  <si>
    <t>LOAN AMOUNT</t>
  </si>
  <si>
    <t>DURATION</t>
  </si>
  <si>
    <t>EMI</t>
  </si>
  <si>
    <t>TOTAL</t>
  </si>
  <si>
    <t>TOTAL PAID</t>
  </si>
  <si>
    <t>INTEREST</t>
  </si>
  <si>
    <t>(Percentage)</t>
  </si>
  <si>
    <t>rupees</t>
  </si>
  <si>
    <t>months</t>
  </si>
  <si>
    <t>Furmula argument</t>
  </si>
  <si>
    <t>Rate</t>
  </si>
  <si>
    <t>P.V (principle value)</t>
  </si>
  <si>
    <t>"N" no. of piriod</t>
  </si>
  <si>
    <t xml:space="preserve"> AFTER 10 M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</si>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</sst>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F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3" fillId="3" borderId="10" applyNumberFormat="0" applyAlignment="0" applyProtection="0"/>
    <xf numFmtId="0" fontId="4" fillId="4" borderId="10" applyNumberFormat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5" fillId="10" borderId="15" applyNumberFormat="0" applyAlignment="0" applyProtection="0"/>
    <xf numFmtId="0" fontId="2" fillId="11" borderId="0" applyNumberFormat="0" applyBorder="0" applyAlignment="0" applyProtection="0"/>
    <xf numFmtId="0" fontId="1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2" fillId="7" borderId="0" xfId="5" applyAlignment="1">
      <alignment horizontal="center" vertical="center" wrapText="1"/>
    </xf>
    <xf numFmtId="0" fontId="2" fillId="7" borderId="0" xfId="5" applyAlignment="1">
      <alignment horizontal="right" vertical="center" wrapText="1"/>
    </xf>
    <xf numFmtId="0" fontId="4" fillId="4" borderId="10" xfId="2"/>
    <xf numFmtId="0" fontId="2" fillId="6" borderId="0" xfId="4"/>
    <xf numFmtId="0" fontId="2" fillId="5" borderId="0" xfId="3" applyBorder="1" applyAlignment="1">
      <alignment vertical="center" wrapText="1"/>
    </xf>
    <xf numFmtId="0" fontId="4" fillId="4" borderId="10" xfId="2" applyAlignment="1">
      <alignment horizontal="center"/>
    </xf>
    <xf numFmtId="0" fontId="0" fillId="0" borderId="0" xfId="0" applyAlignment="1">
      <alignment horizontal="center" vertical="center"/>
    </xf>
    <xf numFmtId="0" fontId="3" fillId="3" borderId="12" xfId="1" applyBorder="1" applyAlignment="1">
      <alignment horizontal="center"/>
    </xf>
    <xf numFmtId="0" fontId="3" fillId="3" borderId="13" xfId="1" applyBorder="1" applyAlignment="1">
      <alignment horizontal="center"/>
    </xf>
    <xf numFmtId="0" fontId="3" fillId="3" borderId="14" xfId="1" applyBorder="1" applyAlignment="1">
      <alignment horizontal="center"/>
    </xf>
    <xf numFmtId="0" fontId="2" fillId="13" borderId="0" xfId="9" applyAlignment="1">
      <alignment horizontal="center" vertical="center"/>
    </xf>
    <xf numFmtId="0" fontId="10" fillId="12" borderId="0" xfId="8"/>
    <xf numFmtId="0" fontId="5" fillId="10" borderId="15" xfId="6"/>
    <xf numFmtId="0" fontId="2" fillId="14" borderId="0" xfId="10"/>
    <xf numFmtId="9" fontId="0" fillId="0" borderId="0" xfId="0" applyNumberFormat="1"/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14" borderId="0" xfId="10" applyAlignment="1">
      <alignment horizontal="center"/>
    </xf>
    <xf numFmtId="0" fontId="1" fillId="0" borderId="0" xfId="0" applyFont="1"/>
    <xf numFmtId="8" fontId="2" fillId="11" borderId="0" xfId="7" applyNumberFormat="1"/>
    <xf numFmtId="8" fontId="0" fillId="0" borderId="0" xfId="0" applyNumberFormat="1"/>
  </cellXfs>
  <cellStyles count="11">
    <cellStyle name="20% - Accent1" xfId="7" builtinId="30"/>
    <cellStyle name="40% - Accent2" xfId="9" builtinId="35"/>
    <cellStyle name="40% - Accent3" xfId="5" builtinId="39"/>
    <cellStyle name="60% - Accent1" xfId="3" builtinId="32"/>
    <cellStyle name="60% - Accent2" xfId="4" builtinId="36"/>
    <cellStyle name="60% - Accent4" xfId="10" builtinId="44"/>
    <cellStyle name="Accent2" xfId="8" builtinId="33"/>
    <cellStyle name="Calculation" xfId="2" builtinId="22"/>
    <cellStyle name="Check Cell" xfId="6" builtinId="23"/>
    <cellStyle name="Input" xfId="1" builtinId="20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6B2BB-FA88-408A-89F3-CB96DD144F8B}" name="Table1" displayName="Table1" ref="A1:E16" totalsRowShown="0" headerRowDxfId="11" dataDxfId="9" headerRowBorderDxfId="10" tableBorderDxfId="8" totalsRowBorderDxfId="7">
  <tableColumns count="5">
    <tableColumn id="1" xr3:uid="{7D4E06CA-CE7D-4F5D-9E3F-285992E855B0}" name="Order ID" dataDxfId="6"/>
    <tableColumn id="2" xr3:uid="{8BF80825-F938-4DEE-8889-13F0AFD8710B}" name="Customer Name" dataDxfId="5"/>
    <tableColumn id="3" xr3:uid="{9C42E90E-36EA-495C-B3C8-DA6BF9A18534}" name="Product" dataDxfId="4"/>
    <tableColumn id="4" xr3:uid="{50CA4699-5D26-48C6-9AEE-F704C91F16FF}" name="Quantity" dataDxfId="3"/>
    <tableColumn id="5" xr3:uid="{C86DF272-9CE3-4EAD-B3FA-35E4E165B6E9}" name="Price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B1A6-B0B7-4E70-933B-FAD31EAC4139}">
  <dimension ref="A1:H9"/>
  <sheetViews>
    <sheetView topLeftCell="D1" workbookViewId="0">
      <selection activeCell="H2" sqref="H2"/>
    </sheetView>
  </sheetViews>
  <sheetFormatPr defaultRowHeight="14.4" x14ac:dyDescent="0.3"/>
  <cols>
    <col min="1" max="8" width="12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27</v>
      </c>
    </row>
    <row r="2" spans="1:8" x14ac:dyDescent="0.3">
      <c r="A2" s="2" t="s">
        <v>5</v>
      </c>
      <c r="B2" s="2" t="s">
        <v>6</v>
      </c>
      <c r="C2" s="2" t="s">
        <v>7</v>
      </c>
      <c r="D2" s="2">
        <v>25000</v>
      </c>
      <c r="E2" s="2">
        <v>2</v>
      </c>
      <c r="F2">
        <v>25</v>
      </c>
      <c r="G2">
        <v>25</v>
      </c>
      <c r="H2">
        <f t="array" ref="H2:H9">FREQUENCY(F2:F9,G2:G8)</f>
        <v>1</v>
      </c>
    </row>
    <row r="3" spans="1:8" x14ac:dyDescent="0.3">
      <c r="A3" s="2" t="s">
        <v>8</v>
      </c>
      <c r="B3" s="2" t="s">
        <v>9</v>
      </c>
      <c r="C3" s="2" t="s">
        <v>10</v>
      </c>
      <c r="D3" s="2">
        <v>30000</v>
      </c>
      <c r="E3" s="2">
        <v>3</v>
      </c>
      <c r="F3">
        <v>24</v>
      </c>
      <c r="G3">
        <v>24</v>
      </c>
      <c r="H3">
        <v>2</v>
      </c>
    </row>
    <row r="4" spans="1:8" x14ac:dyDescent="0.3">
      <c r="A4" s="2" t="s">
        <v>11</v>
      </c>
      <c r="B4" s="2" t="s">
        <v>12</v>
      </c>
      <c r="C4" s="2" t="s">
        <v>13</v>
      </c>
      <c r="D4" s="2">
        <v>45000</v>
      </c>
      <c r="E4" s="2">
        <v>5</v>
      </c>
      <c r="F4">
        <v>45</v>
      </c>
      <c r="G4">
        <v>45</v>
      </c>
      <c r="H4">
        <v>1</v>
      </c>
    </row>
    <row r="5" spans="1:8" ht="28.8" x14ac:dyDescent="0.3">
      <c r="A5" s="2" t="s">
        <v>14</v>
      </c>
      <c r="B5" s="2" t="s">
        <v>15</v>
      </c>
      <c r="C5" s="2" t="s">
        <v>16</v>
      </c>
      <c r="D5" s="2">
        <v>28000</v>
      </c>
      <c r="E5" s="2">
        <v>2</v>
      </c>
      <c r="F5">
        <v>36</v>
      </c>
      <c r="G5">
        <v>36</v>
      </c>
      <c r="H5">
        <v>1</v>
      </c>
    </row>
    <row r="6" spans="1:8" x14ac:dyDescent="0.3">
      <c r="A6" s="2" t="s">
        <v>17</v>
      </c>
      <c r="B6" s="2" t="s">
        <v>18</v>
      </c>
      <c r="C6" s="2" t="s">
        <v>13</v>
      </c>
      <c r="D6" s="2">
        <v>50000</v>
      </c>
      <c r="E6" s="2">
        <v>6</v>
      </c>
      <c r="F6">
        <v>24</v>
      </c>
      <c r="G6">
        <v>31</v>
      </c>
      <c r="H6">
        <v>1</v>
      </c>
    </row>
    <row r="7" spans="1:8" x14ac:dyDescent="0.3">
      <c r="A7" s="2" t="s">
        <v>19</v>
      </c>
      <c r="B7" s="2" t="s">
        <v>20</v>
      </c>
      <c r="C7" s="2" t="s">
        <v>7</v>
      </c>
      <c r="D7" s="2">
        <v>27000</v>
      </c>
      <c r="E7" s="2">
        <v>3</v>
      </c>
      <c r="F7">
        <v>31</v>
      </c>
      <c r="G7">
        <v>27</v>
      </c>
      <c r="H7">
        <v>1</v>
      </c>
    </row>
    <row r="8" spans="1:8" x14ac:dyDescent="0.3">
      <c r="A8" s="2" t="s">
        <v>21</v>
      </c>
      <c r="B8" s="2" t="s">
        <v>22</v>
      </c>
      <c r="C8" s="2" t="s">
        <v>10</v>
      </c>
      <c r="D8" s="2">
        <v>32000</v>
      </c>
      <c r="E8" s="2">
        <v>4</v>
      </c>
      <c r="F8">
        <v>27</v>
      </c>
      <c r="G8">
        <v>42</v>
      </c>
      <c r="H8">
        <v>1</v>
      </c>
    </row>
    <row r="9" spans="1:8" ht="28.8" x14ac:dyDescent="0.3">
      <c r="A9" s="2" t="s">
        <v>23</v>
      </c>
      <c r="B9" s="2" t="s">
        <v>24</v>
      </c>
      <c r="C9" s="2" t="s">
        <v>16</v>
      </c>
      <c r="D9" s="2">
        <v>29000</v>
      </c>
      <c r="E9" s="2">
        <v>2</v>
      </c>
      <c r="F9">
        <v>42</v>
      </c>
      <c r="H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BABD-61F0-4504-85D3-0042A875308C}">
  <dimension ref="A1:J9"/>
  <sheetViews>
    <sheetView workbookViewId="0">
      <selection activeCell="J1" sqref="J1"/>
    </sheetView>
  </sheetViews>
  <sheetFormatPr defaultRowHeight="14.4" x14ac:dyDescent="0.3"/>
  <cols>
    <col min="1" max="5" width="12.109375" customWidth="1"/>
    <col min="8" max="8" width="13.77734375" customWidth="1"/>
    <col min="9" max="11" width="21.2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28</v>
      </c>
      <c r="I1" s="1" t="s">
        <v>1</v>
      </c>
      <c r="J1" t="s">
        <v>2</v>
      </c>
    </row>
    <row r="2" spans="1:10" x14ac:dyDescent="0.3">
      <c r="A2" s="2" t="s">
        <v>5</v>
      </c>
      <c r="B2" s="2" t="s">
        <v>6</v>
      </c>
      <c r="C2" s="2" t="s">
        <v>7</v>
      </c>
      <c r="D2" s="2">
        <v>25000</v>
      </c>
      <c r="E2" s="2">
        <v>2</v>
      </c>
      <c r="H2" t="s">
        <v>8</v>
      </c>
      <c r="I2" s="3" t="str">
        <f>INDEX(A1:E9,MATCH(H2,A1:A9,0),2)</f>
        <v>Priya</v>
      </c>
      <c r="J2" t="str">
        <f>INDEX(A1:E9,MATCH(H2,A1:A9,0),MATCH(J1,A1:E1,0))</f>
        <v>HR</v>
      </c>
    </row>
    <row r="3" spans="1:10" x14ac:dyDescent="0.3">
      <c r="A3" s="2" t="s">
        <v>8</v>
      </c>
      <c r="B3" s="2" t="s">
        <v>9</v>
      </c>
      <c r="C3" s="2" t="s">
        <v>10</v>
      </c>
      <c r="D3" s="2">
        <v>30000</v>
      </c>
      <c r="E3" s="2">
        <v>3</v>
      </c>
    </row>
    <row r="4" spans="1:10" x14ac:dyDescent="0.3">
      <c r="A4" s="2" t="s">
        <v>11</v>
      </c>
      <c r="B4" s="2" t="s">
        <v>12</v>
      </c>
      <c r="C4" s="2" t="s">
        <v>13</v>
      </c>
      <c r="D4" s="2">
        <v>45000</v>
      </c>
      <c r="E4" s="2">
        <v>5</v>
      </c>
    </row>
    <row r="5" spans="1:10" ht="28.8" x14ac:dyDescent="0.3">
      <c r="A5" s="2" t="s">
        <v>14</v>
      </c>
      <c r="B5" s="2" t="s">
        <v>15</v>
      </c>
      <c r="C5" s="2" t="s">
        <v>16</v>
      </c>
      <c r="D5" s="2">
        <v>28000</v>
      </c>
      <c r="E5" s="2">
        <v>2</v>
      </c>
    </row>
    <row r="6" spans="1:10" x14ac:dyDescent="0.3">
      <c r="A6" s="2" t="s">
        <v>17</v>
      </c>
      <c r="B6" s="2" t="s">
        <v>18</v>
      </c>
      <c r="C6" s="2" t="s">
        <v>13</v>
      </c>
      <c r="D6" s="2">
        <v>50000</v>
      </c>
      <c r="E6" s="2">
        <v>6</v>
      </c>
    </row>
    <row r="7" spans="1:10" x14ac:dyDescent="0.3">
      <c r="A7" s="2" t="s">
        <v>19</v>
      </c>
      <c r="B7" s="2" t="s">
        <v>20</v>
      </c>
      <c r="C7" s="2" t="s">
        <v>7</v>
      </c>
      <c r="D7" s="2">
        <v>27000</v>
      </c>
      <c r="E7" s="2">
        <v>3</v>
      </c>
    </row>
    <row r="8" spans="1:10" x14ac:dyDescent="0.3">
      <c r="A8" s="2" t="s">
        <v>21</v>
      </c>
      <c r="B8" s="2" t="s">
        <v>22</v>
      </c>
      <c r="C8" s="2" t="s">
        <v>10</v>
      </c>
      <c r="D8" s="2">
        <v>32000</v>
      </c>
      <c r="E8" s="2">
        <v>4</v>
      </c>
    </row>
    <row r="9" spans="1:10" ht="28.8" x14ac:dyDescent="0.3">
      <c r="A9" s="2" t="s">
        <v>23</v>
      </c>
      <c r="B9" s="2" t="s">
        <v>24</v>
      </c>
      <c r="C9" s="2" t="s">
        <v>16</v>
      </c>
      <c r="D9" s="2">
        <v>29000</v>
      </c>
      <c r="E9" s="2">
        <v>2</v>
      </c>
    </row>
  </sheetData>
  <dataValidations count="2">
    <dataValidation type="list" allowBlank="1" showInputMessage="1" showErrorMessage="1" sqref="H2" xr:uid="{0F4E9832-3971-41FF-8C36-2409AACF0EB1}">
      <formula1>$A$1:$A$9</formula1>
    </dataValidation>
    <dataValidation type="list" allowBlank="1" showInputMessage="1" showErrorMessage="1" sqref="J1" xr:uid="{27E08566-4210-458E-8090-7FF5FC562036}">
      <formula1>$B$1:$E$1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33D8-790B-4FCF-8552-F654BD5A6F23}">
  <dimension ref="A1:H16"/>
  <sheetViews>
    <sheetView topLeftCell="AR1" workbookViewId="0">
      <selection activeCell="H2" sqref="H2"/>
    </sheetView>
  </sheetViews>
  <sheetFormatPr defaultRowHeight="14.4" x14ac:dyDescent="0.3"/>
  <cols>
    <col min="1" max="8" width="10.44140625" customWidth="1"/>
  </cols>
  <sheetData>
    <row r="1" spans="1:8" ht="28.8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G1" s="1" t="s">
        <v>63</v>
      </c>
      <c r="H1" s="1" t="s">
        <v>64</v>
      </c>
    </row>
    <row r="2" spans="1:8" x14ac:dyDescent="0.3">
      <c r="A2" s="2" t="s">
        <v>34</v>
      </c>
      <c r="B2" s="2" t="s">
        <v>6</v>
      </c>
      <c r="C2" s="2" t="s">
        <v>35</v>
      </c>
      <c r="D2" s="2">
        <v>1</v>
      </c>
      <c r="E2" s="2">
        <v>45000</v>
      </c>
      <c r="G2" t="s">
        <v>24</v>
      </c>
      <c r="H2" t="str">
        <f>LOOKUP(G2,B2:B16,C2:C16)</f>
        <v>Mouse</v>
      </c>
    </row>
    <row r="3" spans="1:8" x14ac:dyDescent="0.3">
      <c r="A3" s="2" t="s">
        <v>36</v>
      </c>
      <c r="B3" s="2" t="s">
        <v>9</v>
      </c>
      <c r="C3" s="2" t="s">
        <v>37</v>
      </c>
      <c r="D3" s="2">
        <v>2</v>
      </c>
      <c r="E3" s="2">
        <v>500</v>
      </c>
    </row>
    <row r="4" spans="1:8" x14ac:dyDescent="0.3">
      <c r="A4" s="2" t="s">
        <v>38</v>
      </c>
      <c r="B4" s="2" t="s">
        <v>12</v>
      </c>
      <c r="C4" s="2" t="s">
        <v>39</v>
      </c>
      <c r="D4" s="2">
        <v>1</v>
      </c>
      <c r="E4" s="2">
        <v>1200</v>
      </c>
    </row>
    <row r="5" spans="1:8" x14ac:dyDescent="0.3">
      <c r="A5" s="2" t="s">
        <v>40</v>
      </c>
      <c r="B5" s="2" t="s">
        <v>15</v>
      </c>
      <c r="C5" s="2" t="s">
        <v>41</v>
      </c>
      <c r="D5" s="2">
        <v>1</v>
      </c>
      <c r="E5" s="2">
        <v>8000</v>
      </c>
    </row>
    <row r="6" spans="1:8" ht="28.8" x14ac:dyDescent="0.3">
      <c r="A6" s="2" t="s">
        <v>42</v>
      </c>
      <c r="B6" s="2" t="s">
        <v>18</v>
      </c>
      <c r="C6" s="2" t="s">
        <v>43</v>
      </c>
      <c r="D6" s="2">
        <v>2</v>
      </c>
      <c r="E6" s="2">
        <v>1500</v>
      </c>
    </row>
    <row r="7" spans="1:8" x14ac:dyDescent="0.3">
      <c r="A7" s="2" t="s">
        <v>44</v>
      </c>
      <c r="B7" s="2" t="s">
        <v>20</v>
      </c>
      <c r="C7" s="2" t="s">
        <v>45</v>
      </c>
      <c r="D7" s="2">
        <v>1</v>
      </c>
      <c r="E7" s="2">
        <v>2500</v>
      </c>
    </row>
    <row r="8" spans="1:8" x14ac:dyDescent="0.3">
      <c r="A8" s="2" t="s">
        <v>46</v>
      </c>
      <c r="B8" s="2" t="s">
        <v>22</v>
      </c>
      <c r="C8" s="2" t="s">
        <v>47</v>
      </c>
      <c r="D8" s="2">
        <v>1</v>
      </c>
      <c r="E8" s="2">
        <v>7000</v>
      </c>
    </row>
    <row r="9" spans="1:8" x14ac:dyDescent="0.3">
      <c r="A9" s="2" t="s">
        <v>48</v>
      </c>
      <c r="B9" s="2" t="s">
        <v>24</v>
      </c>
      <c r="C9" s="2" t="s">
        <v>37</v>
      </c>
      <c r="D9" s="2">
        <v>3</v>
      </c>
      <c r="E9" s="2">
        <v>500</v>
      </c>
    </row>
    <row r="10" spans="1:8" x14ac:dyDescent="0.3">
      <c r="A10" s="2" t="s">
        <v>49</v>
      </c>
      <c r="B10" s="2" t="s">
        <v>50</v>
      </c>
      <c r="C10" s="2" t="s">
        <v>39</v>
      </c>
      <c r="D10" s="2">
        <v>2</v>
      </c>
      <c r="E10" s="2">
        <v>1200</v>
      </c>
    </row>
    <row r="11" spans="1:8" x14ac:dyDescent="0.3">
      <c r="A11" s="2" t="s">
        <v>51</v>
      </c>
      <c r="B11" s="2" t="s">
        <v>52</v>
      </c>
      <c r="C11" s="2" t="s">
        <v>41</v>
      </c>
      <c r="D11" s="2">
        <v>1</v>
      </c>
      <c r="E11" s="2">
        <v>8000</v>
      </c>
    </row>
    <row r="12" spans="1:8" x14ac:dyDescent="0.3">
      <c r="A12" s="2" t="s">
        <v>53</v>
      </c>
      <c r="B12" s="2" t="s">
        <v>54</v>
      </c>
      <c r="C12" s="2" t="s">
        <v>35</v>
      </c>
      <c r="D12" s="2">
        <v>1</v>
      </c>
      <c r="E12" s="2">
        <v>45000</v>
      </c>
    </row>
    <row r="13" spans="1:8" x14ac:dyDescent="0.3">
      <c r="A13" s="2" t="s">
        <v>55</v>
      </c>
      <c r="B13" s="2" t="s">
        <v>56</v>
      </c>
      <c r="C13" s="2" t="s">
        <v>45</v>
      </c>
      <c r="D13" s="2">
        <v>2</v>
      </c>
      <c r="E13" s="2">
        <v>2500</v>
      </c>
    </row>
    <row r="14" spans="1:8" ht="28.8" x14ac:dyDescent="0.3">
      <c r="A14" s="2" t="s">
        <v>57</v>
      </c>
      <c r="B14" s="2" t="s">
        <v>58</v>
      </c>
      <c r="C14" s="2" t="s">
        <v>43</v>
      </c>
      <c r="D14" s="2">
        <v>1</v>
      </c>
      <c r="E14" s="2">
        <v>1500</v>
      </c>
    </row>
    <row r="15" spans="1:8" x14ac:dyDescent="0.3">
      <c r="A15" s="2" t="s">
        <v>59</v>
      </c>
      <c r="B15" s="2" t="s">
        <v>60</v>
      </c>
      <c r="C15" s="2" t="s">
        <v>47</v>
      </c>
      <c r="D15" s="2">
        <v>1</v>
      </c>
      <c r="E15" s="2">
        <v>7000</v>
      </c>
    </row>
    <row r="16" spans="1:8" x14ac:dyDescent="0.3">
      <c r="A16" s="2" t="s">
        <v>61</v>
      </c>
      <c r="B16" s="2" t="s">
        <v>62</v>
      </c>
      <c r="C16" s="2" t="s">
        <v>37</v>
      </c>
      <c r="D16" s="2">
        <v>4</v>
      </c>
      <c r="E16" s="2">
        <v>500</v>
      </c>
    </row>
  </sheetData>
  <dataValidations count="1">
    <dataValidation type="list" allowBlank="1" showInputMessage="1" showErrorMessage="1" sqref="G2" xr:uid="{BD304CC4-81AB-466E-A2CF-A9D358C4C274}">
      <formula1>$B$2:$B$16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B8EE-10FD-46A5-87AC-5F6E168A5382}">
  <dimension ref="A1:H16"/>
  <sheetViews>
    <sheetView topLeftCell="D5" zoomScale="108" zoomScaleNormal="100" workbookViewId="0">
      <selection activeCell="H1" sqref="H1"/>
    </sheetView>
  </sheetViews>
  <sheetFormatPr defaultRowHeight="14.4" x14ac:dyDescent="0.3"/>
  <cols>
    <col min="1" max="5" width="11.21875" customWidth="1"/>
    <col min="7" max="7" width="16.33203125" customWidth="1"/>
    <col min="8" max="8" width="13.77734375" customWidth="1"/>
  </cols>
  <sheetData>
    <row r="1" spans="1:8" ht="24.6" customHeight="1" x14ac:dyDescent="0.3">
      <c r="A1" s="5" t="s">
        <v>29</v>
      </c>
      <c r="B1" s="6" t="s">
        <v>30</v>
      </c>
      <c r="C1" s="6" t="s">
        <v>31</v>
      </c>
      <c r="D1" s="6" t="s">
        <v>32</v>
      </c>
      <c r="E1" s="7" t="s">
        <v>33</v>
      </c>
      <c r="G1" s="4" t="s">
        <v>29</v>
      </c>
      <c r="H1" s="14" t="s">
        <v>34</v>
      </c>
    </row>
    <row r="2" spans="1:8" ht="22.2" customHeight="1" x14ac:dyDescent="0.3">
      <c r="A2" s="8" t="s">
        <v>34</v>
      </c>
      <c r="B2" s="9" t="s">
        <v>6</v>
      </c>
      <c r="C2" s="9" t="s">
        <v>35</v>
      </c>
      <c r="D2" s="9">
        <v>1</v>
      </c>
      <c r="E2" s="10">
        <v>45000</v>
      </c>
      <c r="G2" s="4" t="s">
        <v>30</v>
      </c>
      <c r="H2" s="14" t="str">
        <f>VLOOKUP($H$1,list1,ROW(),0)</f>
        <v>Rahul</v>
      </c>
    </row>
    <row r="3" spans="1:8" ht="22.2" customHeight="1" x14ac:dyDescent="0.3">
      <c r="A3" s="8" t="s">
        <v>36</v>
      </c>
      <c r="B3" s="9" t="s">
        <v>9</v>
      </c>
      <c r="C3" s="9" t="s">
        <v>37</v>
      </c>
      <c r="D3" s="9">
        <v>2</v>
      </c>
      <c r="E3" s="10">
        <v>500</v>
      </c>
      <c r="G3" s="4" t="s">
        <v>31</v>
      </c>
      <c r="H3" s="14" t="str">
        <f>VLOOKUP($H$1,list1,ROW(),0)</f>
        <v>Laptop</v>
      </c>
    </row>
    <row r="4" spans="1:8" ht="22.2" customHeight="1" x14ac:dyDescent="0.3">
      <c r="A4" s="8" t="s">
        <v>38</v>
      </c>
      <c r="B4" s="9" t="s">
        <v>12</v>
      </c>
      <c r="C4" s="9" t="s">
        <v>39</v>
      </c>
      <c r="D4" s="9">
        <v>1</v>
      </c>
      <c r="E4" s="10">
        <v>1200</v>
      </c>
      <c r="G4" s="4" t="s">
        <v>32</v>
      </c>
      <c r="H4" s="14">
        <f>VLOOKUP($H$1,list1,ROW(),0)</f>
        <v>1</v>
      </c>
    </row>
    <row r="5" spans="1:8" ht="22.2" customHeight="1" x14ac:dyDescent="0.3">
      <c r="A5" s="8" t="s">
        <v>40</v>
      </c>
      <c r="B5" s="9" t="s">
        <v>15</v>
      </c>
      <c r="C5" s="9" t="s">
        <v>41</v>
      </c>
      <c r="D5" s="9">
        <v>1</v>
      </c>
      <c r="E5" s="10">
        <v>8000</v>
      </c>
      <c r="G5" s="4" t="s">
        <v>33</v>
      </c>
      <c r="H5" s="14">
        <f>VLOOKUP($H$1,list1,ROW(),0)</f>
        <v>45000</v>
      </c>
    </row>
    <row r="6" spans="1:8" ht="22.2" customHeight="1" x14ac:dyDescent="0.3">
      <c r="A6" s="8" t="s">
        <v>42</v>
      </c>
      <c r="B6" s="9" t="s">
        <v>18</v>
      </c>
      <c r="C6" s="9" t="s">
        <v>43</v>
      </c>
      <c r="D6" s="9">
        <v>2</v>
      </c>
      <c r="E6" s="10">
        <v>1500</v>
      </c>
    </row>
    <row r="7" spans="1:8" ht="22.2" customHeight="1" x14ac:dyDescent="0.3">
      <c r="A7" s="8" t="s">
        <v>44</v>
      </c>
      <c r="B7" s="9" t="s">
        <v>20</v>
      </c>
      <c r="C7" s="9" t="s">
        <v>45</v>
      </c>
      <c r="D7" s="9">
        <v>1</v>
      </c>
      <c r="E7" s="10">
        <v>2500</v>
      </c>
    </row>
    <row r="8" spans="1:8" ht="22.2" customHeight="1" x14ac:dyDescent="0.3">
      <c r="A8" s="8" t="s">
        <v>46</v>
      </c>
      <c r="B8" s="9" t="s">
        <v>22</v>
      </c>
      <c r="C8" s="9" t="s">
        <v>47</v>
      </c>
      <c r="D8" s="9">
        <v>1</v>
      </c>
      <c r="E8" s="10">
        <v>7000</v>
      </c>
      <c r="G8">
        <f>ROW()</f>
        <v>8</v>
      </c>
    </row>
    <row r="9" spans="1:8" ht="22.2" customHeight="1" x14ac:dyDescent="0.3">
      <c r="A9" s="8" t="s">
        <v>48</v>
      </c>
      <c r="B9" s="9" t="s">
        <v>24</v>
      </c>
      <c r="C9" s="9" t="s">
        <v>37</v>
      </c>
      <c r="D9" s="9">
        <v>3</v>
      </c>
      <c r="E9" s="10">
        <v>500</v>
      </c>
    </row>
    <row r="10" spans="1:8" ht="22.2" customHeight="1" x14ac:dyDescent="0.3">
      <c r="A10" s="8" t="s">
        <v>49</v>
      </c>
      <c r="B10" s="9" t="s">
        <v>50</v>
      </c>
      <c r="C10" s="9" t="s">
        <v>39</v>
      </c>
      <c r="D10" s="9">
        <v>2</v>
      </c>
      <c r="E10" s="10">
        <v>1200</v>
      </c>
    </row>
    <row r="11" spans="1:8" ht="22.2" customHeight="1" x14ac:dyDescent="0.3">
      <c r="A11" s="8" t="s">
        <v>51</v>
      </c>
      <c r="B11" s="9" t="s">
        <v>52</v>
      </c>
      <c r="C11" s="9" t="s">
        <v>41</v>
      </c>
      <c r="D11" s="9">
        <v>1</v>
      </c>
      <c r="E11" s="10">
        <v>8000</v>
      </c>
    </row>
    <row r="12" spans="1:8" ht="22.2" customHeight="1" x14ac:dyDescent="0.3">
      <c r="A12" s="8" t="s">
        <v>53</v>
      </c>
      <c r="B12" s="9" t="s">
        <v>54</v>
      </c>
      <c r="C12" s="9" t="s">
        <v>35</v>
      </c>
      <c r="D12" s="9">
        <v>1</v>
      </c>
      <c r="E12" s="10">
        <v>45000</v>
      </c>
    </row>
    <row r="13" spans="1:8" ht="22.2" customHeight="1" x14ac:dyDescent="0.3">
      <c r="A13" s="8" t="s">
        <v>55</v>
      </c>
      <c r="B13" s="9" t="s">
        <v>56</v>
      </c>
      <c r="C13" s="9" t="s">
        <v>45</v>
      </c>
      <c r="D13" s="9">
        <v>2</v>
      </c>
      <c r="E13" s="10">
        <v>2500</v>
      </c>
    </row>
    <row r="14" spans="1:8" ht="22.2" customHeight="1" x14ac:dyDescent="0.3">
      <c r="A14" s="8" t="s">
        <v>57</v>
      </c>
      <c r="B14" s="9" t="s">
        <v>58</v>
      </c>
      <c r="C14" s="9" t="s">
        <v>43</v>
      </c>
      <c r="D14" s="9">
        <v>1</v>
      </c>
      <c r="E14" s="10">
        <v>1500</v>
      </c>
    </row>
    <row r="15" spans="1:8" ht="22.2" customHeight="1" x14ac:dyDescent="0.3">
      <c r="A15" s="8" t="s">
        <v>59</v>
      </c>
      <c r="B15" s="9" t="s">
        <v>60</v>
      </c>
      <c r="C15" s="9" t="s">
        <v>47</v>
      </c>
      <c r="D15" s="9">
        <v>1</v>
      </c>
      <c r="E15" s="10">
        <v>7000</v>
      </c>
    </row>
    <row r="16" spans="1:8" ht="22.2" customHeight="1" x14ac:dyDescent="0.3">
      <c r="A16" s="11" t="s">
        <v>61</v>
      </c>
      <c r="B16" s="12" t="s">
        <v>62</v>
      </c>
      <c r="C16" s="12" t="s">
        <v>37</v>
      </c>
      <c r="D16" s="12">
        <v>4</v>
      </c>
      <c r="E16" s="13">
        <v>500</v>
      </c>
    </row>
  </sheetData>
  <dataValidations count="1">
    <dataValidation type="list" allowBlank="1" showInputMessage="1" showErrorMessage="1" sqref="H1" xr:uid="{ED119251-97CB-46F3-A940-E2863BD91158}">
      <formula1>$A$1:$A$16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1DE5-E797-4358-A9DC-CFA18E2833F6}">
  <dimension ref="A3:P11"/>
  <sheetViews>
    <sheetView topLeftCell="C1" workbookViewId="0">
      <selection activeCell="D11" sqref="D11"/>
    </sheetView>
  </sheetViews>
  <sheetFormatPr defaultRowHeight="14.4" x14ac:dyDescent="0.3"/>
  <cols>
    <col min="1" max="1" width="8.44140625" bestFit="1" customWidth="1"/>
    <col min="2" max="2" width="6.6640625" bestFit="1" customWidth="1"/>
    <col min="3" max="3" width="6.5546875" bestFit="1" customWidth="1"/>
    <col min="4" max="4" width="8.6640625" bestFit="1" customWidth="1"/>
    <col min="5" max="5" width="7.6640625" bestFit="1" customWidth="1"/>
    <col min="6" max="6" width="8.33203125" bestFit="1" customWidth="1"/>
    <col min="7" max="7" width="8.21875" bestFit="1" customWidth="1"/>
    <col min="8" max="8" width="6.44140625" bestFit="1" customWidth="1"/>
    <col min="9" max="9" width="6.5546875" bestFit="1" customWidth="1"/>
    <col min="10" max="10" width="8.6640625" bestFit="1" customWidth="1"/>
    <col min="11" max="11" width="7.6640625" bestFit="1" customWidth="1"/>
    <col min="12" max="12" width="7.109375" bestFit="1" customWidth="1"/>
    <col min="13" max="13" width="8.21875" bestFit="1" customWidth="1"/>
    <col min="14" max="14" width="8.33203125" bestFit="1" customWidth="1"/>
    <col min="15" max="15" width="6.44140625" bestFit="1" customWidth="1"/>
    <col min="16" max="16" width="6.5546875" bestFit="1" customWidth="1"/>
  </cols>
  <sheetData>
    <row r="3" spans="1:16" x14ac:dyDescent="0.3">
      <c r="A3" s="15" t="s">
        <v>29</v>
      </c>
      <c r="B3" s="16" t="s">
        <v>34</v>
      </c>
      <c r="C3" s="17" t="s">
        <v>36</v>
      </c>
      <c r="D3" s="16" t="s">
        <v>38</v>
      </c>
      <c r="E3" s="17" t="s">
        <v>40</v>
      </c>
      <c r="F3" s="16" t="s">
        <v>42</v>
      </c>
      <c r="G3" s="17" t="s">
        <v>44</v>
      </c>
      <c r="H3" s="16" t="s">
        <v>46</v>
      </c>
      <c r="I3" s="17" t="s">
        <v>48</v>
      </c>
      <c r="J3" s="16" t="s">
        <v>49</v>
      </c>
      <c r="K3" s="17" t="s">
        <v>51</v>
      </c>
      <c r="L3" s="16" t="s">
        <v>53</v>
      </c>
      <c r="M3" s="17" t="s">
        <v>55</v>
      </c>
      <c r="N3" s="16" t="s">
        <v>57</v>
      </c>
      <c r="O3" s="17" t="s">
        <v>59</v>
      </c>
      <c r="P3" s="16" t="s">
        <v>61</v>
      </c>
    </row>
    <row r="4" spans="1:16" ht="28.8" x14ac:dyDescent="0.3">
      <c r="A4" s="15" t="s">
        <v>30</v>
      </c>
      <c r="B4" s="16" t="s">
        <v>6</v>
      </c>
      <c r="C4" s="17" t="s">
        <v>9</v>
      </c>
      <c r="D4" s="16" t="s">
        <v>12</v>
      </c>
      <c r="E4" s="17" t="s">
        <v>15</v>
      </c>
      <c r="F4" s="16" t="s">
        <v>18</v>
      </c>
      <c r="G4" s="17" t="s">
        <v>20</v>
      </c>
      <c r="H4" s="16" t="s">
        <v>22</v>
      </c>
      <c r="I4" s="17" t="s">
        <v>24</v>
      </c>
      <c r="J4" s="16" t="s">
        <v>50</v>
      </c>
      <c r="K4" s="17" t="s">
        <v>52</v>
      </c>
      <c r="L4" s="16" t="s">
        <v>54</v>
      </c>
      <c r="M4" s="17" t="s">
        <v>56</v>
      </c>
      <c r="N4" s="16" t="s">
        <v>58</v>
      </c>
      <c r="O4" s="17" t="s">
        <v>60</v>
      </c>
      <c r="P4" s="16" t="s">
        <v>62</v>
      </c>
    </row>
    <row r="5" spans="1:16" ht="28.8" x14ac:dyDescent="0.3">
      <c r="A5" s="15" t="s">
        <v>31</v>
      </c>
      <c r="B5" s="16" t="s">
        <v>35</v>
      </c>
      <c r="C5" s="17" t="s">
        <v>37</v>
      </c>
      <c r="D5" s="16" t="s">
        <v>39</v>
      </c>
      <c r="E5" s="17" t="s">
        <v>41</v>
      </c>
      <c r="F5" s="16" t="s">
        <v>43</v>
      </c>
      <c r="G5" s="17" t="s">
        <v>45</v>
      </c>
      <c r="H5" s="16" t="s">
        <v>47</v>
      </c>
      <c r="I5" s="17" t="s">
        <v>37</v>
      </c>
      <c r="J5" s="16" t="s">
        <v>39</v>
      </c>
      <c r="K5" s="17" t="s">
        <v>41</v>
      </c>
      <c r="L5" s="16" t="s">
        <v>35</v>
      </c>
      <c r="M5" s="17" t="s">
        <v>45</v>
      </c>
      <c r="N5" s="16" t="s">
        <v>43</v>
      </c>
      <c r="O5" s="17" t="s">
        <v>47</v>
      </c>
      <c r="P5" s="16" t="s">
        <v>37</v>
      </c>
    </row>
    <row r="6" spans="1:16" x14ac:dyDescent="0.3">
      <c r="A6" s="15" t="s">
        <v>32</v>
      </c>
      <c r="B6" s="16">
        <v>1</v>
      </c>
      <c r="C6" s="17">
        <v>2</v>
      </c>
      <c r="D6" s="16">
        <v>1</v>
      </c>
      <c r="E6" s="17">
        <v>1</v>
      </c>
      <c r="F6" s="16">
        <v>2</v>
      </c>
      <c r="G6" s="17">
        <v>1</v>
      </c>
      <c r="H6" s="16">
        <v>1</v>
      </c>
      <c r="I6" s="17">
        <v>3</v>
      </c>
      <c r="J6" s="16">
        <v>2</v>
      </c>
      <c r="K6" s="17">
        <v>1</v>
      </c>
      <c r="L6" s="16">
        <v>1</v>
      </c>
      <c r="M6" s="17">
        <v>2</v>
      </c>
      <c r="N6" s="16">
        <v>1</v>
      </c>
      <c r="O6" s="17">
        <v>1</v>
      </c>
      <c r="P6" s="16">
        <v>4</v>
      </c>
    </row>
    <row r="7" spans="1:16" x14ac:dyDescent="0.3">
      <c r="A7" s="15" t="s">
        <v>33</v>
      </c>
      <c r="B7" s="16">
        <v>45000</v>
      </c>
      <c r="C7" s="17">
        <v>500</v>
      </c>
      <c r="D7" s="16">
        <v>1200</v>
      </c>
      <c r="E7" s="17">
        <v>8000</v>
      </c>
      <c r="F7" s="16">
        <v>1500</v>
      </c>
      <c r="G7" s="17">
        <v>2500</v>
      </c>
      <c r="H7" s="16">
        <v>7000</v>
      </c>
      <c r="I7" s="17">
        <v>500</v>
      </c>
      <c r="J7" s="16">
        <v>1200</v>
      </c>
      <c r="K7" s="17">
        <v>8000</v>
      </c>
      <c r="L7" s="16">
        <v>45000</v>
      </c>
      <c r="M7" s="17">
        <v>2500</v>
      </c>
      <c r="N7" s="16">
        <v>1500</v>
      </c>
      <c r="O7" s="17">
        <v>7000</v>
      </c>
      <c r="P7" s="16">
        <v>500</v>
      </c>
    </row>
    <row r="10" spans="1:16" ht="28.8" x14ac:dyDescent="0.3">
      <c r="B10" s="15" t="s">
        <v>29</v>
      </c>
      <c r="C10" s="15" t="s">
        <v>30</v>
      </c>
      <c r="D10" s="15" t="s">
        <v>31</v>
      </c>
      <c r="E10" s="15" t="s">
        <v>32</v>
      </c>
      <c r="F10" s="15" t="s">
        <v>33</v>
      </c>
    </row>
    <row r="11" spans="1:16" x14ac:dyDescent="0.3">
      <c r="B11" t="s">
        <v>51</v>
      </c>
      <c r="C11" t="str">
        <f>HLOOKUP(B11,A3:P7,COLUMN(),0)</f>
        <v>Monitor</v>
      </c>
      <c r="D11">
        <f>HLOOKUP(B11,A3:P7,COLUMN(),0)</f>
        <v>1</v>
      </c>
      <c r="E11">
        <f>HLOOKUP(B11,A3:P7,COLUMN(),0)</f>
        <v>8000</v>
      </c>
      <c r="F11" t="e">
        <f>HLOOKUP($B$11,A3:P7,COLUMN(),0)</f>
        <v>#REF!</v>
      </c>
    </row>
  </sheetData>
  <dataValidations count="1">
    <dataValidation type="list" allowBlank="1" showInputMessage="1" showErrorMessage="1" sqref="B11" xr:uid="{642B191D-A2CC-4C22-BC57-313C8A5B4B26}">
      <formula1>$B$3:$P$3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BC9A-17E6-4A25-944B-B41C074568CE}">
  <dimension ref="A1:K26"/>
  <sheetViews>
    <sheetView topLeftCell="A7" workbookViewId="0">
      <selection activeCell="A16" sqref="A16:G26"/>
    </sheetView>
  </sheetViews>
  <sheetFormatPr defaultRowHeight="14.4" x14ac:dyDescent="0.3"/>
  <cols>
    <col min="1" max="6" width="10.109375" customWidth="1"/>
    <col min="10" max="10" width="10.33203125" customWidth="1"/>
  </cols>
  <sheetData>
    <row r="1" spans="1:9" ht="30.6" customHeight="1" x14ac:dyDescent="0.4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65</v>
      </c>
      <c r="H1" s="21" t="s">
        <v>75</v>
      </c>
    </row>
    <row r="2" spans="1:9" ht="19.8" customHeight="1" x14ac:dyDescent="0.3">
      <c r="A2" s="2" t="s">
        <v>5</v>
      </c>
      <c r="B2" s="2" t="s">
        <v>6</v>
      </c>
      <c r="C2" s="2" t="s">
        <v>13</v>
      </c>
      <c r="D2" s="19">
        <v>45000</v>
      </c>
      <c r="E2" s="19">
        <v>2</v>
      </c>
      <c r="F2" s="2" t="s">
        <v>66</v>
      </c>
      <c r="H2" s="2" t="s">
        <v>13</v>
      </c>
      <c r="I2">
        <f>SUMIF(C2:C11,H2,D2:D11)</f>
        <v>152000</v>
      </c>
    </row>
    <row r="3" spans="1:9" ht="19.8" customHeight="1" x14ac:dyDescent="0.3">
      <c r="A3" s="2" t="s">
        <v>8</v>
      </c>
      <c r="B3" s="2" t="s">
        <v>9</v>
      </c>
      <c r="C3" s="2" t="s">
        <v>10</v>
      </c>
      <c r="D3" s="19">
        <v>38000</v>
      </c>
      <c r="E3" s="19">
        <v>3</v>
      </c>
      <c r="F3" s="2" t="s">
        <v>67</v>
      </c>
      <c r="H3" s="2" t="s">
        <v>10</v>
      </c>
      <c r="I3">
        <f t="shared" ref="I3:I5" si="0">SUMIF(C3:C12,H3,D3:D12)</f>
        <v>78000</v>
      </c>
    </row>
    <row r="4" spans="1:9" ht="19.8" customHeight="1" x14ac:dyDescent="0.3">
      <c r="A4" s="2" t="s">
        <v>11</v>
      </c>
      <c r="B4" s="2" t="s">
        <v>12</v>
      </c>
      <c r="C4" s="2" t="s">
        <v>7</v>
      </c>
      <c r="D4" s="19">
        <v>42000</v>
      </c>
      <c r="E4" s="19">
        <v>4</v>
      </c>
      <c r="F4" s="2" t="s">
        <v>68</v>
      </c>
      <c r="H4" s="2" t="s">
        <v>7</v>
      </c>
      <c r="I4">
        <f t="shared" si="0"/>
        <v>133000</v>
      </c>
    </row>
    <row r="5" spans="1:9" ht="19.8" customHeight="1" x14ac:dyDescent="0.3">
      <c r="A5" s="2" t="s">
        <v>14</v>
      </c>
      <c r="B5" s="2" t="s">
        <v>15</v>
      </c>
      <c r="C5" s="2" t="s">
        <v>13</v>
      </c>
      <c r="D5" s="19">
        <v>55000</v>
      </c>
      <c r="E5" s="19">
        <v>5</v>
      </c>
      <c r="F5" s="2" t="s">
        <v>66</v>
      </c>
      <c r="H5" s="2" t="s">
        <v>69</v>
      </c>
      <c r="I5">
        <f t="shared" si="0"/>
        <v>125000</v>
      </c>
    </row>
    <row r="6" spans="1:9" ht="19.8" customHeight="1" x14ac:dyDescent="0.3">
      <c r="A6" s="2" t="s">
        <v>17</v>
      </c>
      <c r="B6" s="2" t="s">
        <v>18</v>
      </c>
      <c r="C6" s="2" t="s">
        <v>69</v>
      </c>
      <c r="D6" s="19">
        <v>60000</v>
      </c>
      <c r="E6" s="19">
        <v>6</v>
      </c>
      <c r="F6" s="2" t="s">
        <v>70</v>
      </c>
    </row>
    <row r="7" spans="1:9" ht="19.8" customHeight="1" x14ac:dyDescent="0.3">
      <c r="A7" s="2" t="s">
        <v>19</v>
      </c>
      <c r="B7" s="2" t="s">
        <v>20</v>
      </c>
      <c r="C7" s="2" t="s">
        <v>10</v>
      </c>
      <c r="D7" s="19">
        <v>40000</v>
      </c>
      <c r="E7" s="19">
        <v>2</v>
      </c>
      <c r="F7" s="2" t="s">
        <v>71</v>
      </c>
    </row>
    <row r="8" spans="1:9" ht="19.8" customHeight="1" x14ac:dyDescent="0.3">
      <c r="A8" s="2" t="s">
        <v>21</v>
      </c>
      <c r="B8" s="2" t="s">
        <v>22</v>
      </c>
      <c r="C8" s="2" t="s">
        <v>7</v>
      </c>
      <c r="D8" s="19">
        <v>47000</v>
      </c>
      <c r="E8" s="19">
        <v>4</v>
      </c>
      <c r="F8" s="2" t="s">
        <v>66</v>
      </c>
    </row>
    <row r="9" spans="1:9" ht="19.8" customHeight="1" x14ac:dyDescent="0.3">
      <c r="A9" s="2" t="s">
        <v>23</v>
      </c>
      <c r="B9" s="2" t="s">
        <v>24</v>
      </c>
      <c r="C9" s="2" t="s">
        <v>13</v>
      </c>
      <c r="D9" s="19">
        <v>52000</v>
      </c>
      <c r="E9" s="19">
        <v>3</v>
      </c>
      <c r="F9" s="2" t="s">
        <v>72</v>
      </c>
    </row>
    <row r="10" spans="1:9" ht="19.8" customHeight="1" x14ac:dyDescent="0.3">
      <c r="A10" s="2" t="s">
        <v>73</v>
      </c>
      <c r="B10" s="2" t="s">
        <v>50</v>
      </c>
      <c r="C10" s="2" t="s">
        <v>69</v>
      </c>
      <c r="D10" s="19">
        <v>65000</v>
      </c>
      <c r="E10" s="19">
        <v>7</v>
      </c>
      <c r="F10" s="2" t="s">
        <v>67</v>
      </c>
    </row>
    <row r="11" spans="1:9" ht="19.8" customHeight="1" x14ac:dyDescent="0.3">
      <c r="A11" s="2" t="s">
        <v>74</v>
      </c>
      <c r="B11" s="2" t="s">
        <v>52</v>
      </c>
      <c r="C11" s="2" t="s">
        <v>7</v>
      </c>
      <c r="D11" s="19">
        <v>44000</v>
      </c>
      <c r="E11" s="19">
        <v>2</v>
      </c>
      <c r="F11" s="2" t="s">
        <v>68</v>
      </c>
    </row>
    <row r="16" spans="1:9" ht="15.6" x14ac:dyDescent="0.3">
      <c r="A16" s="1" t="s">
        <v>29</v>
      </c>
      <c r="B16" s="1" t="s">
        <v>77</v>
      </c>
      <c r="C16" s="1" t="s">
        <v>31</v>
      </c>
      <c r="D16" s="1" t="s">
        <v>78</v>
      </c>
      <c r="E16" s="1" t="s">
        <v>65</v>
      </c>
      <c r="F16" s="20" t="s">
        <v>32</v>
      </c>
      <c r="G16" s="20" t="s">
        <v>79</v>
      </c>
      <c r="I16" s="22" t="s">
        <v>76</v>
      </c>
    </row>
    <row r="17" spans="1:11" x14ac:dyDescent="0.3">
      <c r="A17" s="2" t="s">
        <v>34</v>
      </c>
      <c r="B17" s="2" t="s">
        <v>6</v>
      </c>
      <c r="C17" s="2" t="s">
        <v>35</v>
      </c>
      <c r="D17" s="2" t="s">
        <v>80</v>
      </c>
      <c r="E17" s="2" t="s">
        <v>66</v>
      </c>
      <c r="F17" s="19">
        <v>1</v>
      </c>
      <c r="G17" s="19">
        <v>45000</v>
      </c>
      <c r="I17" s="24" t="s">
        <v>84</v>
      </c>
      <c r="J17" s="25" t="s">
        <v>80</v>
      </c>
      <c r="K17" s="25" t="s">
        <v>82</v>
      </c>
    </row>
    <row r="18" spans="1:11" x14ac:dyDescent="0.3">
      <c r="A18" s="2" t="s">
        <v>36</v>
      </c>
      <c r="B18" s="2" t="s">
        <v>9</v>
      </c>
      <c r="C18" s="2" t="s">
        <v>37</v>
      </c>
      <c r="D18" s="2" t="s">
        <v>80</v>
      </c>
      <c r="E18" s="2" t="s">
        <v>67</v>
      </c>
      <c r="F18" s="19">
        <v>2</v>
      </c>
      <c r="G18" s="19">
        <v>1000</v>
      </c>
      <c r="I18" s="2" t="s">
        <v>66</v>
      </c>
      <c r="J18" s="2">
        <f>SUMIFS($G$17:$G$26,$E$17:$E$26,I18,$D$17:$D$26,J17)</f>
        <v>92000</v>
      </c>
      <c r="K18" s="2">
        <f>SUMIFS($G$17:$G$26,$E$17:$E$26,I18,$D$17:$D$26,$K$17)</f>
        <v>27000</v>
      </c>
    </row>
    <row r="19" spans="1:11" x14ac:dyDescent="0.3">
      <c r="A19" s="2" t="s">
        <v>38</v>
      </c>
      <c r="B19" s="2" t="s">
        <v>12</v>
      </c>
      <c r="C19" s="2" t="s">
        <v>81</v>
      </c>
      <c r="D19" s="2" t="s">
        <v>82</v>
      </c>
      <c r="E19" s="2" t="s">
        <v>66</v>
      </c>
      <c r="F19" s="19">
        <v>1</v>
      </c>
      <c r="G19" s="19">
        <v>5000</v>
      </c>
      <c r="I19" s="2" t="s">
        <v>67</v>
      </c>
      <c r="J19" s="2">
        <f>SUMIFS($G$17:$G$26,$E$17:$E$26,I19,$D$17:$D$26,$J$17)</f>
        <v>4600</v>
      </c>
      <c r="K19" s="2">
        <f t="shared" ref="K19:K20" si="1">SUMIFS($G$17:$G$26,$E$17:$E$26,I19,$D$17:$D$26,$K$17)</f>
        <v>0</v>
      </c>
    </row>
    <row r="20" spans="1:11" x14ac:dyDescent="0.3">
      <c r="A20" s="2" t="s">
        <v>40</v>
      </c>
      <c r="B20" s="2" t="s">
        <v>15</v>
      </c>
      <c r="C20" s="2" t="s">
        <v>35</v>
      </c>
      <c r="D20" s="2" t="s">
        <v>80</v>
      </c>
      <c r="E20" s="2" t="s">
        <v>68</v>
      </c>
      <c r="F20" s="19">
        <v>1</v>
      </c>
      <c r="G20" s="19">
        <v>45000</v>
      </c>
      <c r="I20" s="2" t="s">
        <v>68</v>
      </c>
      <c r="J20" s="2">
        <f>SUMIFS($G$17:$G$26,$E$17:$E$26,I20,$D$17:$D$26,$J$17)</f>
        <v>45000</v>
      </c>
      <c r="K20" s="2">
        <f t="shared" si="1"/>
        <v>6000</v>
      </c>
    </row>
    <row r="21" spans="1:11" x14ac:dyDescent="0.3">
      <c r="A21" s="2" t="s">
        <v>42</v>
      </c>
      <c r="B21" s="2" t="s">
        <v>18</v>
      </c>
      <c r="C21" s="2" t="s">
        <v>83</v>
      </c>
      <c r="D21" s="2" t="s">
        <v>82</v>
      </c>
      <c r="E21" s="2" t="s">
        <v>66</v>
      </c>
      <c r="F21" s="19">
        <v>2</v>
      </c>
      <c r="G21" s="19">
        <v>12000</v>
      </c>
    </row>
    <row r="22" spans="1:11" x14ac:dyDescent="0.3">
      <c r="A22" s="2" t="s">
        <v>44</v>
      </c>
      <c r="B22" s="2" t="s">
        <v>20</v>
      </c>
      <c r="C22" s="2" t="s">
        <v>39</v>
      </c>
      <c r="D22" s="2" t="s">
        <v>80</v>
      </c>
      <c r="E22" s="2" t="s">
        <v>67</v>
      </c>
      <c r="F22" s="19">
        <v>3</v>
      </c>
      <c r="G22" s="19">
        <v>3600</v>
      </c>
    </row>
    <row r="23" spans="1:11" x14ac:dyDescent="0.3">
      <c r="A23" s="2" t="s">
        <v>46</v>
      </c>
      <c r="B23" s="2" t="s">
        <v>22</v>
      </c>
      <c r="C23" s="2" t="s">
        <v>81</v>
      </c>
      <c r="D23" s="2" t="s">
        <v>82</v>
      </c>
      <c r="E23" s="2" t="s">
        <v>66</v>
      </c>
      <c r="F23" s="19">
        <v>2</v>
      </c>
      <c r="G23" s="19">
        <v>10000</v>
      </c>
    </row>
    <row r="24" spans="1:11" x14ac:dyDescent="0.3">
      <c r="A24" s="2" t="s">
        <v>48</v>
      </c>
      <c r="B24" s="2" t="s">
        <v>24</v>
      </c>
      <c r="C24" s="2" t="s">
        <v>35</v>
      </c>
      <c r="D24" s="2" t="s">
        <v>80</v>
      </c>
      <c r="E24" s="2" t="s">
        <v>66</v>
      </c>
      <c r="F24" s="19">
        <v>1</v>
      </c>
      <c r="G24" s="19">
        <v>45000</v>
      </c>
    </row>
    <row r="25" spans="1:11" x14ac:dyDescent="0.3">
      <c r="A25" s="2" t="s">
        <v>49</v>
      </c>
      <c r="B25" s="2" t="s">
        <v>50</v>
      </c>
      <c r="C25" s="2" t="s">
        <v>83</v>
      </c>
      <c r="D25" s="2" t="s">
        <v>82</v>
      </c>
      <c r="E25" s="2" t="s">
        <v>68</v>
      </c>
      <c r="F25" s="19">
        <v>1</v>
      </c>
      <c r="G25" s="19">
        <v>6000</v>
      </c>
    </row>
    <row r="26" spans="1:11" x14ac:dyDescent="0.3">
      <c r="A26" s="2" t="s">
        <v>51</v>
      </c>
      <c r="B26" s="2" t="s">
        <v>52</v>
      </c>
      <c r="C26" s="2" t="s">
        <v>37</v>
      </c>
      <c r="D26" s="2" t="s">
        <v>80</v>
      </c>
      <c r="E26" s="2" t="s">
        <v>66</v>
      </c>
      <c r="F26" s="19">
        <v>4</v>
      </c>
      <c r="G26" s="19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EB72-4359-4017-88D8-B542C11D6BBC}">
  <dimension ref="A1:L11"/>
  <sheetViews>
    <sheetView workbookViewId="0">
      <selection sqref="A1:G11"/>
    </sheetView>
  </sheetViews>
  <sheetFormatPr defaultRowHeight="14.4" x14ac:dyDescent="0.3"/>
  <cols>
    <col min="9" max="9" width="10.21875" customWidth="1"/>
  </cols>
  <sheetData>
    <row r="1" spans="1:12" ht="28.8" x14ac:dyDescent="0.3">
      <c r="A1" s="1" t="s">
        <v>29</v>
      </c>
      <c r="B1" s="1" t="s">
        <v>77</v>
      </c>
      <c r="C1" s="1" t="s">
        <v>31</v>
      </c>
      <c r="D1" s="1" t="s">
        <v>78</v>
      </c>
      <c r="E1" s="1" t="s">
        <v>65</v>
      </c>
      <c r="F1" s="20" t="s">
        <v>32</v>
      </c>
      <c r="G1" s="20" t="s">
        <v>79</v>
      </c>
    </row>
    <row r="2" spans="1:12" ht="28.8" x14ac:dyDescent="0.35">
      <c r="A2" s="2" t="s">
        <v>34</v>
      </c>
      <c r="B2" s="2" t="s">
        <v>6</v>
      </c>
      <c r="C2" s="2" t="s">
        <v>35</v>
      </c>
      <c r="D2" s="2" t="s">
        <v>80</v>
      </c>
      <c r="E2" s="2" t="s">
        <v>66</v>
      </c>
      <c r="F2" s="19">
        <v>1</v>
      </c>
      <c r="G2" s="19">
        <v>45000</v>
      </c>
      <c r="I2" s="26" t="s">
        <v>87</v>
      </c>
    </row>
    <row r="3" spans="1:12" ht="28.8" x14ac:dyDescent="0.3">
      <c r="A3" s="2" t="s">
        <v>36</v>
      </c>
      <c r="B3" s="2" t="s">
        <v>9</v>
      </c>
      <c r="C3" s="2" t="s">
        <v>37</v>
      </c>
      <c r="D3" s="2" t="s">
        <v>80</v>
      </c>
      <c r="E3" s="2" t="s">
        <v>67</v>
      </c>
      <c r="F3" s="19">
        <v>2</v>
      </c>
      <c r="G3" s="19">
        <v>1000</v>
      </c>
      <c r="I3" t="s">
        <v>85</v>
      </c>
      <c r="J3" t="s">
        <v>86</v>
      </c>
    </row>
    <row r="4" spans="1:12" x14ac:dyDescent="0.3">
      <c r="A4" s="2" t="s">
        <v>38</v>
      </c>
      <c r="B4" s="2" t="s">
        <v>12</v>
      </c>
      <c r="C4" s="2" t="s">
        <v>81</v>
      </c>
      <c r="D4" s="2" t="s">
        <v>82</v>
      </c>
      <c r="E4" s="2" t="s">
        <v>66</v>
      </c>
      <c r="F4" s="19">
        <v>1</v>
      </c>
      <c r="G4" s="19">
        <v>5000</v>
      </c>
      <c r="I4" s="2" t="s">
        <v>80</v>
      </c>
      <c r="J4">
        <f>COUNTIF(D2:D11,I4)</f>
        <v>6</v>
      </c>
    </row>
    <row r="5" spans="1:12" ht="28.8" x14ac:dyDescent="0.3">
      <c r="A5" s="2" t="s">
        <v>40</v>
      </c>
      <c r="B5" s="2" t="s">
        <v>15</v>
      </c>
      <c r="C5" s="2" t="s">
        <v>35</v>
      </c>
      <c r="D5" s="2" t="s">
        <v>80</v>
      </c>
      <c r="E5" s="2" t="s">
        <v>68</v>
      </c>
      <c r="F5" s="19">
        <v>1</v>
      </c>
      <c r="G5" s="19">
        <v>45000</v>
      </c>
      <c r="I5" s="2" t="s">
        <v>82</v>
      </c>
      <c r="J5">
        <f>COUNTIF(D3:D12,I5)</f>
        <v>4</v>
      </c>
    </row>
    <row r="6" spans="1:12" x14ac:dyDescent="0.3">
      <c r="A6" s="2" t="s">
        <v>42</v>
      </c>
      <c r="B6" s="2" t="s">
        <v>18</v>
      </c>
      <c r="C6" s="2" t="s">
        <v>83</v>
      </c>
      <c r="D6" s="2" t="s">
        <v>82</v>
      </c>
      <c r="E6" s="2" t="s">
        <v>66</v>
      </c>
      <c r="F6" s="19">
        <v>2</v>
      </c>
      <c r="G6" s="19">
        <v>12000</v>
      </c>
    </row>
    <row r="7" spans="1:12" ht="28.8" x14ac:dyDescent="0.35">
      <c r="A7" s="2" t="s">
        <v>44</v>
      </c>
      <c r="B7" s="2" t="s">
        <v>20</v>
      </c>
      <c r="C7" s="2" t="s">
        <v>39</v>
      </c>
      <c r="D7" s="2" t="s">
        <v>80</v>
      </c>
      <c r="E7" s="2" t="s">
        <v>67</v>
      </c>
      <c r="F7" s="19">
        <v>3</v>
      </c>
      <c r="G7" s="19">
        <v>3600</v>
      </c>
      <c r="I7" s="27" t="s">
        <v>88</v>
      </c>
    </row>
    <row r="8" spans="1:12" x14ac:dyDescent="0.3">
      <c r="A8" s="2" t="s">
        <v>46</v>
      </c>
      <c r="B8" s="2" t="s">
        <v>22</v>
      </c>
      <c r="C8" s="2" t="s">
        <v>81</v>
      </c>
      <c r="D8" s="2" t="s">
        <v>82</v>
      </c>
      <c r="E8" s="2" t="s">
        <v>66</v>
      </c>
      <c r="F8" s="19">
        <v>2</v>
      </c>
      <c r="G8" s="19">
        <v>10000</v>
      </c>
      <c r="I8" t="s">
        <v>85</v>
      </c>
      <c r="J8" s="2" t="s">
        <v>66</v>
      </c>
      <c r="K8" s="2" t="s">
        <v>67</v>
      </c>
      <c r="L8" s="2" t="s">
        <v>68</v>
      </c>
    </row>
    <row r="9" spans="1:12" ht="28.8" x14ac:dyDescent="0.3">
      <c r="A9" s="2" t="s">
        <v>48</v>
      </c>
      <c r="B9" s="2" t="s">
        <v>24</v>
      </c>
      <c r="C9" s="2" t="s">
        <v>35</v>
      </c>
      <c r="D9" s="2" t="s">
        <v>80</v>
      </c>
      <c r="E9" s="2" t="s">
        <v>66</v>
      </c>
      <c r="F9" s="19">
        <v>1</v>
      </c>
      <c r="G9" s="19">
        <v>45000</v>
      </c>
      <c r="I9" s="2" t="s">
        <v>80</v>
      </c>
      <c r="J9">
        <f>COUNTIFS($E$2:$E$11,J8,$D$2:$D$11,$I$9)</f>
        <v>3</v>
      </c>
      <c r="K9">
        <f t="shared" ref="K9:L9" si="0">COUNTIFS($E$2:$E$11,K8,$D$2:$D$11,$I$9)</f>
        <v>2</v>
      </c>
      <c r="L9">
        <f t="shared" si="0"/>
        <v>1</v>
      </c>
    </row>
    <row r="10" spans="1:12" x14ac:dyDescent="0.3">
      <c r="A10" s="2" t="s">
        <v>49</v>
      </c>
      <c r="B10" s="2" t="s">
        <v>50</v>
      </c>
      <c r="C10" s="2" t="s">
        <v>83</v>
      </c>
      <c r="D10" s="2" t="s">
        <v>82</v>
      </c>
      <c r="E10" s="2" t="s">
        <v>68</v>
      </c>
      <c r="F10" s="19">
        <v>1</v>
      </c>
      <c r="G10" s="19">
        <v>6000</v>
      </c>
      <c r="I10" s="2" t="s">
        <v>82</v>
      </c>
      <c r="J10">
        <f>COUNTIFS($E$2:$E$11,J8,$D$2:$D$11,$I$10)</f>
        <v>3</v>
      </c>
      <c r="K10">
        <f t="shared" ref="K10:L10" si="1">COUNTIFS($E$2:$E$11,K8,$D$2:$D$11,$I$10)</f>
        <v>0</v>
      </c>
      <c r="L10">
        <f t="shared" si="1"/>
        <v>1</v>
      </c>
    </row>
    <row r="11" spans="1:12" ht="28.8" x14ac:dyDescent="0.3">
      <c r="A11" s="2" t="s">
        <v>51</v>
      </c>
      <c r="B11" s="2" t="s">
        <v>52</v>
      </c>
      <c r="C11" s="2" t="s">
        <v>37</v>
      </c>
      <c r="D11" s="2" t="s">
        <v>80</v>
      </c>
      <c r="E11" s="2" t="s">
        <v>66</v>
      </c>
      <c r="F11" s="19">
        <v>4</v>
      </c>
      <c r="G11" s="19">
        <v>2000</v>
      </c>
      <c r="L1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7F30-930D-46D8-8F55-A02DC9A536F0}">
  <dimension ref="B1:K16"/>
  <sheetViews>
    <sheetView workbookViewId="0">
      <selection activeCell="J13" sqref="J13"/>
    </sheetView>
  </sheetViews>
  <sheetFormatPr defaultRowHeight="14.4" x14ac:dyDescent="0.3"/>
  <cols>
    <col min="2" max="8" width="6.77734375" style="23" customWidth="1"/>
  </cols>
  <sheetData>
    <row r="1" spans="2:11" x14ac:dyDescent="0.3">
      <c r="B1" s="35" t="s">
        <v>90</v>
      </c>
      <c r="C1" s="36"/>
      <c r="D1" s="36"/>
      <c r="E1" s="36"/>
      <c r="F1" s="36"/>
      <c r="G1" s="36"/>
      <c r="H1" s="37"/>
    </row>
    <row r="2" spans="2:11" x14ac:dyDescent="0.3">
      <c r="B2" s="23" t="s">
        <v>89</v>
      </c>
      <c r="C2" s="23" t="s">
        <v>89</v>
      </c>
      <c r="D2" s="23" t="s">
        <v>89</v>
      </c>
      <c r="E2" s="23" t="s">
        <v>89</v>
      </c>
      <c r="F2" s="23" t="s">
        <v>89</v>
      </c>
      <c r="G2" s="23" t="s">
        <v>89</v>
      </c>
      <c r="H2" s="23" t="s">
        <v>89</v>
      </c>
    </row>
    <row r="3" spans="2:11" x14ac:dyDescent="0.3">
      <c r="B3" s="23" t="s">
        <v>91</v>
      </c>
      <c r="C3" s="23" t="s">
        <v>91</v>
      </c>
      <c r="D3" s="23" t="s">
        <v>91</v>
      </c>
      <c r="E3" s="23" t="s">
        <v>91</v>
      </c>
      <c r="G3" s="23" t="s">
        <v>89</v>
      </c>
      <c r="H3" s="23" t="s">
        <v>89</v>
      </c>
    </row>
    <row r="4" spans="2:11" x14ac:dyDescent="0.3">
      <c r="C4" s="23" t="s">
        <v>89</v>
      </c>
      <c r="D4" s="23" t="s">
        <v>89</v>
      </c>
      <c r="E4" s="23" t="s">
        <v>89</v>
      </c>
      <c r="F4" s="23" t="s">
        <v>89</v>
      </c>
      <c r="J4" t="s">
        <v>92</v>
      </c>
      <c r="K4">
        <f>COUNTA(B2:H19)</f>
        <v>61</v>
      </c>
    </row>
    <row r="5" spans="2:11" x14ac:dyDescent="0.3">
      <c r="C5" s="23" t="s">
        <v>91</v>
      </c>
      <c r="J5" t="s">
        <v>93</v>
      </c>
      <c r="K5">
        <f>COUNTBLANK(B2:H16)</f>
        <v>44</v>
      </c>
    </row>
    <row r="6" spans="2:11" x14ac:dyDescent="0.3">
      <c r="C6" s="23" t="s">
        <v>89</v>
      </c>
      <c r="D6" s="23" t="s">
        <v>89</v>
      </c>
      <c r="E6" s="23" t="s">
        <v>89</v>
      </c>
      <c r="G6" s="23" t="s">
        <v>89</v>
      </c>
      <c r="H6" s="23" t="s">
        <v>89</v>
      </c>
    </row>
    <row r="7" spans="2:11" x14ac:dyDescent="0.3">
      <c r="B7" s="23" t="s">
        <v>91</v>
      </c>
      <c r="J7" t="s">
        <v>94</v>
      </c>
      <c r="K7">
        <f>COUNTIF(booktable,"M")</f>
        <v>24</v>
      </c>
    </row>
    <row r="8" spans="2:11" x14ac:dyDescent="0.3">
      <c r="B8" s="23" t="s">
        <v>91</v>
      </c>
      <c r="C8" s="23" t="s">
        <v>91</v>
      </c>
      <c r="D8" s="23" t="s">
        <v>91</v>
      </c>
      <c r="E8" s="23" t="s">
        <v>91</v>
      </c>
      <c r="F8" s="23" t="s">
        <v>91</v>
      </c>
      <c r="G8" s="23" t="s">
        <v>91</v>
      </c>
      <c r="J8" s="23" t="s">
        <v>95</v>
      </c>
      <c r="K8">
        <f>COUNTIF(booktable,"F")</f>
        <v>37</v>
      </c>
    </row>
    <row r="9" spans="2:11" x14ac:dyDescent="0.3">
      <c r="B9" s="23" t="s">
        <v>89</v>
      </c>
      <c r="D9" s="23" t="s">
        <v>89</v>
      </c>
      <c r="E9" s="23" t="s">
        <v>89</v>
      </c>
      <c r="G9" s="23" t="s">
        <v>89</v>
      </c>
      <c r="H9" s="23" t="s">
        <v>89</v>
      </c>
    </row>
    <row r="10" spans="2:11" x14ac:dyDescent="0.3">
      <c r="B10" s="23" t="s">
        <v>89</v>
      </c>
      <c r="D10" s="23" t="s">
        <v>89</v>
      </c>
      <c r="E10" s="23" t="s">
        <v>89</v>
      </c>
    </row>
    <row r="11" spans="2:11" x14ac:dyDescent="0.3">
      <c r="B11" s="23" t="s">
        <v>91</v>
      </c>
      <c r="C11" s="23" t="s">
        <v>91</v>
      </c>
      <c r="D11" s="23" t="s">
        <v>91</v>
      </c>
      <c r="E11" s="23" t="s">
        <v>91</v>
      </c>
      <c r="F11" s="23" t="s">
        <v>91</v>
      </c>
      <c r="G11" s="23" t="s">
        <v>91</v>
      </c>
      <c r="H11" s="23" t="s">
        <v>91</v>
      </c>
    </row>
    <row r="12" spans="2:11" x14ac:dyDescent="0.3">
      <c r="E12" s="23" t="s">
        <v>91</v>
      </c>
    </row>
    <row r="13" spans="2:11" x14ac:dyDescent="0.3">
      <c r="B13" s="23" t="s">
        <v>91</v>
      </c>
      <c r="C13" s="23" t="s">
        <v>91</v>
      </c>
      <c r="D13" s="23" t="s">
        <v>91</v>
      </c>
    </row>
    <row r="14" spans="2:11" x14ac:dyDescent="0.3">
      <c r="E14" s="23" t="s">
        <v>91</v>
      </c>
    </row>
    <row r="15" spans="2:11" x14ac:dyDescent="0.3">
      <c r="B15" s="23" t="s">
        <v>89</v>
      </c>
      <c r="C15" s="23" t="s">
        <v>89</v>
      </c>
      <c r="D15" s="23" t="s">
        <v>89</v>
      </c>
      <c r="E15" s="23" t="s">
        <v>89</v>
      </c>
      <c r="F15" s="23" t="s">
        <v>89</v>
      </c>
      <c r="G15" s="23" t="s">
        <v>89</v>
      </c>
    </row>
    <row r="16" spans="2:11" x14ac:dyDescent="0.3">
      <c r="D16" s="23" t="s">
        <v>89</v>
      </c>
      <c r="E16" s="23" t="s">
        <v>89</v>
      </c>
      <c r="F16" s="23" t="s">
        <v>89</v>
      </c>
      <c r="G16" s="23" t="s">
        <v>89</v>
      </c>
      <c r="H16" s="23" t="s">
        <v>89</v>
      </c>
    </row>
  </sheetData>
  <mergeCells count="1">
    <mergeCell ref="B1:H1"/>
  </mergeCells>
  <conditionalFormatting sqref="B2:H16">
    <cfRule type="cellIs" dxfId="1" priority="1" operator="equal">
      <formula>"F"</formula>
    </cfRule>
    <cfRule type="cellIs" dxfId="0" priority="2" operator="equal">
      <formula>"M"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3893-5AC8-4A25-AC76-278B0BE09D18}">
  <dimension ref="A1:K12"/>
  <sheetViews>
    <sheetView workbookViewId="0">
      <selection activeCell="G11" sqref="A1:G11"/>
    </sheetView>
  </sheetViews>
  <sheetFormatPr defaultRowHeight="14.4" x14ac:dyDescent="0.3"/>
  <cols>
    <col min="1" max="11" width="9.6640625" customWidth="1"/>
  </cols>
  <sheetData>
    <row r="1" spans="1:11" ht="25.2" customHeight="1" x14ac:dyDescent="0.3">
      <c r="A1" s="28" t="s">
        <v>29</v>
      </c>
      <c r="B1" s="28" t="s">
        <v>77</v>
      </c>
      <c r="C1" s="28" t="s">
        <v>31</v>
      </c>
      <c r="D1" s="28" t="s">
        <v>78</v>
      </c>
      <c r="E1" s="28" t="s">
        <v>65</v>
      </c>
      <c r="F1" s="29" t="s">
        <v>32</v>
      </c>
      <c r="G1" s="29" t="s">
        <v>79</v>
      </c>
    </row>
    <row r="2" spans="1:11" ht="25.2" customHeight="1" x14ac:dyDescent="0.3">
      <c r="A2" s="2" t="s">
        <v>34</v>
      </c>
      <c r="B2" s="2" t="s">
        <v>6</v>
      </c>
      <c r="C2" s="2" t="s">
        <v>35</v>
      </c>
      <c r="D2" s="2" t="s">
        <v>80</v>
      </c>
      <c r="E2" s="2" t="s">
        <v>66</v>
      </c>
      <c r="F2" s="19">
        <v>1</v>
      </c>
      <c r="G2" s="19">
        <v>45000</v>
      </c>
      <c r="I2" s="31" t="s">
        <v>96</v>
      </c>
    </row>
    <row r="3" spans="1:11" ht="25.2" customHeight="1" x14ac:dyDescent="0.3">
      <c r="A3" s="2" t="s">
        <v>36</v>
      </c>
      <c r="B3" s="2" t="s">
        <v>9</v>
      </c>
      <c r="C3" s="2" t="s">
        <v>37</v>
      </c>
      <c r="D3" s="2" t="s">
        <v>80</v>
      </c>
      <c r="E3" s="2" t="s">
        <v>67</v>
      </c>
      <c r="F3" s="19">
        <v>2</v>
      </c>
      <c r="G3" s="19">
        <v>1000</v>
      </c>
      <c r="I3" s="30" t="s">
        <v>85</v>
      </c>
    </row>
    <row r="4" spans="1:11" ht="25.2" customHeight="1" x14ac:dyDescent="0.3">
      <c r="A4" s="2" t="s">
        <v>38</v>
      </c>
      <c r="B4" s="2" t="s">
        <v>12</v>
      </c>
      <c r="C4" s="2" t="s">
        <v>81</v>
      </c>
      <c r="D4" s="2" t="s">
        <v>82</v>
      </c>
      <c r="E4" s="2" t="s">
        <v>66</v>
      </c>
      <c r="F4" s="19">
        <v>1</v>
      </c>
      <c r="G4" s="19">
        <v>5000</v>
      </c>
      <c r="I4" s="2" t="s">
        <v>67</v>
      </c>
      <c r="J4">
        <f>AVERAGEIF($E$2:$E$11,I4,$G$2:$G$11)</f>
        <v>2300</v>
      </c>
    </row>
    <row r="5" spans="1:11" ht="25.2" customHeight="1" x14ac:dyDescent="0.3">
      <c r="A5" s="2" t="s">
        <v>40</v>
      </c>
      <c r="B5" s="2" t="s">
        <v>15</v>
      </c>
      <c r="C5" s="2" t="s">
        <v>35</v>
      </c>
      <c r="D5" s="2" t="s">
        <v>80</v>
      </c>
      <c r="E5" s="2" t="s">
        <v>68</v>
      </c>
      <c r="F5" s="19">
        <v>1</v>
      </c>
      <c r="G5" s="19">
        <v>45000</v>
      </c>
      <c r="I5" s="2" t="s">
        <v>66</v>
      </c>
      <c r="J5">
        <f>AVERAGEIF($E$2:$E$11,I5,$G$2:$G$11)</f>
        <v>19833.333333333332</v>
      </c>
    </row>
    <row r="6" spans="1:11" ht="25.2" customHeight="1" x14ac:dyDescent="0.3">
      <c r="A6" s="2" t="s">
        <v>42</v>
      </c>
      <c r="B6" s="2" t="s">
        <v>18</v>
      </c>
      <c r="C6" s="2" t="s">
        <v>83</v>
      </c>
      <c r="D6" s="2" t="s">
        <v>82</v>
      </c>
      <c r="E6" s="2" t="s">
        <v>66</v>
      </c>
      <c r="F6" s="19">
        <v>2</v>
      </c>
      <c r="G6" s="19">
        <v>12000</v>
      </c>
      <c r="I6" s="2" t="s">
        <v>68</v>
      </c>
      <c r="J6">
        <f>AVERAGEIF($E$2:$E$11,I6,$G$2:$G$11)</f>
        <v>25500</v>
      </c>
    </row>
    <row r="7" spans="1:11" ht="25.2" customHeight="1" x14ac:dyDescent="0.3">
      <c r="A7" s="2" t="s">
        <v>44</v>
      </c>
      <c r="B7" s="2" t="s">
        <v>20</v>
      </c>
      <c r="C7" s="2" t="s">
        <v>39</v>
      </c>
      <c r="D7" s="2" t="s">
        <v>80</v>
      </c>
      <c r="E7" s="2" t="s">
        <v>67</v>
      </c>
      <c r="F7" s="19">
        <v>3</v>
      </c>
      <c r="G7" s="19">
        <v>3600</v>
      </c>
    </row>
    <row r="8" spans="1:11" ht="25.2" customHeight="1" x14ac:dyDescent="0.3">
      <c r="A8" s="2" t="s">
        <v>46</v>
      </c>
      <c r="B8" s="2" t="s">
        <v>22</v>
      </c>
      <c r="C8" s="2" t="s">
        <v>81</v>
      </c>
      <c r="D8" s="2" t="s">
        <v>82</v>
      </c>
      <c r="E8" s="2" t="s">
        <v>66</v>
      </c>
      <c r="F8" s="19">
        <v>2</v>
      </c>
      <c r="G8" s="19">
        <v>10000</v>
      </c>
      <c r="I8" s="32" t="s">
        <v>97</v>
      </c>
    </row>
    <row r="9" spans="1:11" ht="25.2" customHeight="1" x14ac:dyDescent="0.3">
      <c r="A9" s="2" t="s">
        <v>48</v>
      </c>
      <c r="B9" s="2" t="s">
        <v>24</v>
      </c>
      <c r="C9" s="2" t="s">
        <v>35</v>
      </c>
      <c r="D9" s="2" t="s">
        <v>80</v>
      </c>
      <c r="E9" s="2" t="s">
        <v>66</v>
      </c>
      <c r="F9" s="19">
        <v>1</v>
      </c>
      <c r="G9" s="19">
        <v>45000</v>
      </c>
      <c r="I9" s="33" t="s">
        <v>85</v>
      </c>
      <c r="J9" s="33" t="s">
        <v>80</v>
      </c>
      <c r="K9" s="33" t="s">
        <v>82</v>
      </c>
    </row>
    <row r="10" spans="1:11" ht="25.2" customHeight="1" x14ac:dyDescent="0.3">
      <c r="A10" s="2" t="s">
        <v>49</v>
      </c>
      <c r="B10" s="2" t="s">
        <v>50</v>
      </c>
      <c r="C10" s="2" t="s">
        <v>83</v>
      </c>
      <c r="D10" s="2" t="s">
        <v>82</v>
      </c>
      <c r="E10" s="2" t="s">
        <v>68</v>
      </c>
      <c r="F10" s="19">
        <v>1</v>
      </c>
      <c r="G10" s="19">
        <v>6000</v>
      </c>
      <c r="I10" s="2" t="s">
        <v>67</v>
      </c>
      <c r="J10">
        <f>AVERAGEIFS(G:G,E:E,I10,D:D,$J$9)</f>
        <v>2300</v>
      </c>
      <c r="K10">
        <f>IFERROR(AVERAGEIFS(G:G,E:E,I10,D:D,$K$9),0)</f>
        <v>0</v>
      </c>
    </row>
    <row r="11" spans="1:11" ht="25.2" customHeight="1" x14ac:dyDescent="0.3">
      <c r="A11" s="2" t="s">
        <v>51</v>
      </c>
      <c r="B11" s="2" t="s">
        <v>52</v>
      </c>
      <c r="C11" s="2" t="s">
        <v>37</v>
      </c>
      <c r="D11" s="2" t="s">
        <v>80</v>
      </c>
      <c r="E11" s="2" t="s">
        <v>66</v>
      </c>
      <c r="F11" s="19">
        <v>4</v>
      </c>
      <c r="G11" s="19">
        <v>2000</v>
      </c>
      <c r="I11" s="2" t="s">
        <v>66</v>
      </c>
      <c r="J11">
        <f t="shared" ref="J11:J12" si="0">AVERAGEIFS(G:G,E:E,I11,D:D,$J$9)</f>
        <v>30666.666666666668</v>
      </c>
      <c r="K11">
        <f>AVERAGEIFS(G:G,E:E,I11,D:D,$K$9)</f>
        <v>9000</v>
      </c>
    </row>
    <row r="12" spans="1:11" ht="18" customHeight="1" x14ac:dyDescent="0.3">
      <c r="I12" s="2" t="s">
        <v>68</v>
      </c>
      <c r="J12">
        <f t="shared" si="0"/>
        <v>45000</v>
      </c>
      <c r="K12">
        <f t="shared" ref="K12" si="1">AVERAGEIFS(G:G,E:E,I12,D:D,$K$9)</f>
        <v>6000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4C4B-2BA8-40EF-957F-ED462660F8B0}">
  <dimension ref="A1:I11"/>
  <sheetViews>
    <sheetView workbookViewId="0">
      <selection activeCell="A3" sqref="A1:G11"/>
    </sheetView>
  </sheetViews>
  <sheetFormatPr defaultRowHeight="14.4" x14ac:dyDescent="0.3"/>
  <sheetData>
    <row r="1" spans="1:9" x14ac:dyDescent="0.3">
      <c r="A1" s="28" t="s">
        <v>29</v>
      </c>
      <c r="B1" s="28" t="s">
        <v>77</v>
      </c>
      <c r="C1" s="28" t="s">
        <v>31</v>
      </c>
      <c r="D1" s="28" t="s">
        <v>78</v>
      </c>
      <c r="E1" s="28" t="s">
        <v>65</v>
      </c>
      <c r="F1" s="29" t="s">
        <v>32</v>
      </c>
      <c r="G1" s="29" t="s">
        <v>79</v>
      </c>
    </row>
    <row r="2" spans="1:9" ht="28.8" x14ac:dyDescent="0.3">
      <c r="A2" s="2" t="s">
        <v>34</v>
      </c>
      <c r="B2" s="2" t="s">
        <v>6</v>
      </c>
      <c r="C2" s="2" t="s">
        <v>35</v>
      </c>
      <c r="D2" s="2" t="s">
        <v>80</v>
      </c>
      <c r="E2" s="2" t="s">
        <v>66</v>
      </c>
      <c r="F2" s="19">
        <v>1</v>
      </c>
      <c r="G2" s="19">
        <v>45000</v>
      </c>
    </row>
    <row r="3" spans="1:9" ht="28.8" x14ac:dyDescent="0.3">
      <c r="A3" s="2" t="s">
        <v>48</v>
      </c>
      <c r="B3" s="2" t="s">
        <v>24</v>
      </c>
      <c r="C3" s="2" t="s">
        <v>35</v>
      </c>
      <c r="D3" s="2" t="s">
        <v>80</v>
      </c>
      <c r="E3" s="2" t="s">
        <v>66</v>
      </c>
      <c r="F3" s="19">
        <v>1</v>
      </c>
      <c r="G3" s="19">
        <v>45000</v>
      </c>
      <c r="I3">
        <f>SUBTOTAL(2,G2:G11)</f>
        <v>10</v>
      </c>
    </row>
    <row r="4" spans="1:9" ht="28.8" x14ac:dyDescent="0.3">
      <c r="A4" s="2" t="s">
        <v>51</v>
      </c>
      <c r="B4" s="2" t="s">
        <v>52</v>
      </c>
      <c r="C4" s="2" t="s">
        <v>37</v>
      </c>
      <c r="D4" s="2" t="s">
        <v>80</v>
      </c>
      <c r="E4" s="2" t="s">
        <v>66</v>
      </c>
      <c r="F4" s="19">
        <v>4</v>
      </c>
      <c r="G4" s="19">
        <v>2000</v>
      </c>
    </row>
    <row r="5" spans="1:9" x14ac:dyDescent="0.3">
      <c r="A5" s="2" t="s">
        <v>38</v>
      </c>
      <c r="B5" s="2" t="s">
        <v>12</v>
      </c>
      <c r="C5" s="2" t="s">
        <v>81</v>
      </c>
      <c r="D5" s="2" t="s">
        <v>82</v>
      </c>
      <c r="E5" s="2" t="s">
        <v>66</v>
      </c>
      <c r="F5" s="19">
        <v>1</v>
      </c>
      <c r="G5" s="19">
        <v>5000</v>
      </c>
    </row>
    <row r="6" spans="1:9" x14ac:dyDescent="0.3">
      <c r="A6" s="2" t="s">
        <v>46</v>
      </c>
      <c r="B6" s="2" t="s">
        <v>22</v>
      </c>
      <c r="C6" s="2" t="s">
        <v>81</v>
      </c>
      <c r="D6" s="2" t="s">
        <v>82</v>
      </c>
      <c r="E6" s="2" t="s">
        <v>66</v>
      </c>
      <c r="F6" s="19">
        <v>2</v>
      </c>
      <c r="G6" s="19">
        <v>10000</v>
      </c>
    </row>
    <row r="7" spans="1:9" x14ac:dyDescent="0.3">
      <c r="A7" s="2" t="s">
        <v>42</v>
      </c>
      <c r="B7" s="2" t="s">
        <v>18</v>
      </c>
      <c r="C7" s="2" t="s">
        <v>83</v>
      </c>
      <c r="D7" s="2" t="s">
        <v>82</v>
      </c>
      <c r="E7" s="2" t="s">
        <v>66</v>
      </c>
      <c r="F7" s="19">
        <v>2</v>
      </c>
      <c r="G7" s="19">
        <v>12000</v>
      </c>
    </row>
    <row r="8" spans="1:9" ht="28.8" x14ac:dyDescent="0.3">
      <c r="A8" s="2" t="s">
        <v>40</v>
      </c>
      <c r="B8" s="2" t="s">
        <v>15</v>
      </c>
      <c r="C8" s="2" t="s">
        <v>35</v>
      </c>
      <c r="D8" s="2" t="s">
        <v>80</v>
      </c>
      <c r="E8" s="2" t="s">
        <v>68</v>
      </c>
      <c r="F8" s="19">
        <v>1</v>
      </c>
      <c r="G8" s="19">
        <v>45000</v>
      </c>
    </row>
    <row r="9" spans="1:9" x14ac:dyDescent="0.3">
      <c r="A9" s="2" t="s">
        <v>49</v>
      </c>
      <c r="B9" s="2" t="s">
        <v>50</v>
      </c>
      <c r="C9" s="2" t="s">
        <v>83</v>
      </c>
      <c r="D9" s="2" t="s">
        <v>82</v>
      </c>
      <c r="E9" s="2" t="s">
        <v>68</v>
      </c>
      <c r="F9" s="19">
        <v>1</v>
      </c>
      <c r="G9" s="19">
        <v>6000</v>
      </c>
    </row>
    <row r="10" spans="1:9" ht="28.8" x14ac:dyDescent="0.3">
      <c r="A10" s="2" t="s">
        <v>44</v>
      </c>
      <c r="B10" s="2" t="s">
        <v>20</v>
      </c>
      <c r="C10" s="2" t="s">
        <v>39</v>
      </c>
      <c r="D10" s="2" t="s">
        <v>80</v>
      </c>
      <c r="E10" s="2" t="s">
        <v>67</v>
      </c>
      <c r="F10" s="19">
        <v>3</v>
      </c>
      <c r="G10" s="19">
        <v>3600</v>
      </c>
    </row>
    <row r="11" spans="1:9" ht="28.8" x14ac:dyDescent="0.3">
      <c r="A11" s="2" t="s">
        <v>36</v>
      </c>
      <c r="B11" s="2" t="s">
        <v>9</v>
      </c>
      <c r="C11" s="2" t="s">
        <v>37</v>
      </c>
      <c r="D11" s="2" t="s">
        <v>80</v>
      </c>
      <c r="E11" s="2" t="s">
        <v>67</v>
      </c>
      <c r="F11" s="19">
        <v>2</v>
      </c>
      <c r="G11" s="19">
        <v>1000</v>
      </c>
    </row>
  </sheetData>
  <sortState xmlns:xlrd2="http://schemas.microsoft.com/office/spreadsheetml/2017/richdata2" ref="A2:G11">
    <sortCondition ref="E2:E11"/>
    <sortCondition ref="D2:D11"/>
    <sortCondition ref="C2:C1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6B7F-71CB-48DE-B1A9-A01C8DAAC98D}">
  <dimension ref="A1:H13"/>
  <sheetViews>
    <sheetView topLeftCell="D1" workbookViewId="0">
      <selection activeCell="E7" sqref="A1:H13"/>
    </sheetView>
  </sheetViews>
  <sheetFormatPr defaultRowHeight="14.4" x14ac:dyDescent="0.3"/>
  <cols>
    <col min="7" max="7" width="10.6640625" bestFit="1" customWidth="1"/>
  </cols>
  <sheetData>
    <row r="1" spans="1:8" x14ac:dyDescent="0.3">
      <c r="A1" s="28" t="s">
        <v>29</v>
      </c>
      <c r="B1" s="28" t="s">
        <v>77</v>
      </c>
      <c r="C1" s="28" t="s">
        <v>31</v>
      </c>
      <c r="D1" s="28" t="s">
        <v>78</v>
      </c>
      <c r="E1" s="28" t="s">
        <v>65</v>
      </c>
      <c r="F1" s="29" t="s">
        <v>32</v>
      </c>
      <c r="G1" s="29" t="s">
        <v>79</v>
      </c>
      <c r="H1" s="28" t="s">
        <v>98</v>
      </c>
    </row>
    <row r="2" spans="1:8" ht="28.8" x14ac:dyDescent="0.3">
      <c r="A2" s="2" t="s">
        <v>34</v>
      </c>
      <c r="B2" s="2" t="s">
        <v>6</v>
      </c>
      <c r="C2" s="2" t="s">
        <v>35</v>
      </c>
      <c r="D2" s="2" t="s">
        <v>80</v>
      </c>
      <c r="E2" s="2" t="s">
        <v>66</v>
      </c>
      <c r="F2" s="19">
        <v>1</v>
      </c>
      <c r="G2" s="19">
        <v>45000</v>
      </c>
      <c r="H2">
        <f>PRODUCT(F2,G2)</f>
        <v>45000</v>
      </c>
    </row>
    <row r="3" spans="1:8" ht="28.8" x14ac:dyDescent="0.3">
      <c r="A3" s="2" t="s">
        <v>48</v>
      </c>
      <c r="B3" s="2" t="s">
        <v>24</v>
      </c>
      <c r="C3" s="2" t="s">
        <v>35</v>
      </c>
      <c r="D3" s="2" t="s">
        <v>80</v>
      </c>
      <c r="E3" s="2" t="s">
        <v>66</v>
      </c>
      <c r="F3" s="19">
        <v>1</v>
      </c>
      <c r="G3" s="19">
        <v>45000</v>
      </c>
      <c r="H3">
        <f t="shared" ref="H3:H11" si="0">PRODUCT(F3,G3)</f>
        <v>45000</v>
      </c>
    </row>
    <row r="4" spans="1:8" ht="28.8" x14ac:dyDescent="0.3">
      <c r="A4" s="2" t="s">
        <v>51</v>
      </c>
      <c r="B4" s="2" t="s">
        <v>52</v>
      </c>
      <c r="C4" s="2" t="s">
        <v>37</v>
      </c>
      <c r="D4" s="2" t="s">
        <v>80</v>
      </c>
      <c r="E4" s="2" t="s">
        <v>66</v>
      </c>
      <c r="F4" s="19">
        <v>4</v>
      </c>
      <c r="G4" s="19">
        <v>2000</v>
      </c>
      <c r="H4">
        <f t="shared" si="0"/>
        <v>8000</v>
      </c>
    </row>
    <row r="5" spans="1:8" x14ac:dyDescent="0.3">
      <c r="A5" s="2" t="s">
        <v>38</v>
      </c>
      <c r="B5" s="2" t="s">
        <v>12</v>
      </c>
      <c r="C5" s="2" t="s">
        <v>81</v>
      </c>
      <c r="D5" s="2" t="s">
        <v>82</v>
      </c>
      <c r="E5" s="2" t="s">
        <v>66</v>
      </c>
      <c r="F5" s="19">
        <v>1</v>
      </c>
      <c r="G5" s="19">
        <v>5000</v>
      </c>
      <c r="H5">
        <f t="shared" si="0"/>
        <v>5000</v>
      </c>
    </row>
    <row r="6" spans="1:8" x14ac:dyDescent="0.3">
      <c r="A6" s="2" t="s">
        <v>46</v>
      </c>
      <c r="B6" s="2" t="s">
        <v>22</v>
      </c>
      <c r="C6" s="2" t="s">
        <v>81</v>
      </c>
      <c r="D6" s="2" t="s">
        <v>82</v>
      </c>
      <c r="E6" s="2" t="s">
        <v>66</v>
      </c>
      <c r="F6" s="19">
        <v>2</v>
      </c>
      <c r="G6" s="19">
        <v>10000</v>
      </c>
      <c r="H6">
        <f t="shared" si="0"/>
        <v>20000</v>
      </c>
    </row>
    <row r="7" spans="1:8" x14ac:dyDescent="0.3">
      <c r="A7" s="2" t="s">
        <v>42</v>
      </c>
      <c r="B7" s="2" t="s">
        <v>18</v>
      </c>
      <c r="C7" s="2" t="s">
        <v>83</v>
      </c>
      <c r="D7" s="2" t="s">
        <v>82</v>
      </c>
      <c r="E7" s="2" t="s">
        <v>66</v>
      </c>
      <c r="F7" s="19">
        <v>2</v>
      </c>
      <c r="G7" s="19">
        <v>12000</v>
      </c>
      <c r="H7">
        <f t="shared" si="0"/>
        <v>24000</v>
      </c>
    </row>
    <row r="8" spans="1:8" ht="28.8" x14ac:dyDescent="0.3">
      <c r="A8" s="2" t="s">
        <v>40</v>
      </c>
      <c r="B8" s="2" t="s">
        <v>15</v>
      </c>
      <c r="C8" s="2" t="s">
        <v>35</v>
      </c>
      <c r="D8" s="2" t="s">
        <v>80</v>
      </c>
      <c r="E8" s="2" t="s">
        <v>68</v>
      </c>
      <c r="F8" s="19">
        <v>1</v>
      </c>
      <c r="G8" s="19">
        <v>45000</v>
      </c>
      <c r="H8">
        <f t="shared" si="0"/>
        <v>45000</v>
      </c>
    </row>
    <row r="9" spans="1:8" x14ac:dyDescent="0.3">
      <c r="A9" s="2" t="s">
        <v>49</v>
      </c>
      <c r="B9" s="2" t="s">
        <v>50</v>
      </c>
      <c r="C9" s="2" t="s">
        <v>83</v>
      </c>
      <c r="D9" s="2" t="s">
        <v>82</v>
      </c>
      <c r="E9" s="2" t="s">
        <v>68</v>
      </c>
      <c r="F9" s="19">
        <v>1</v>
      </c>
      <c r="G9" s="19">
        <v>6000</v>
      </c>
      <c r="H9">
        <f t="shared" si="0"/>
        <v>6000</v>
      </c>
    </row>
    <row r="10" spans="1:8" ht="28.8" x14ac:dyDescent="0.3">
      <c r="A10" s="2" t="s">
        <v>44</v>
      </c>
      <c r="B10" s="2" t="s">
        <v>20</v>
      </c>
      <c r="C10" s="2" t="s">
        <v>39</v>
      </c>
      <c r="D10" s="2" t="s">
        <v>80</v>
      </c>
      <c r="E10" s="2" t="s">
        <v>67</v>
      </c>
      <c r="F10" s="19">
        <v>3</v>
      </c>
      <c r="G10" s="19">
        <v>3600</v>
      </c>
      <c r="H10">
        <f t="shared" si="0"/>
        <v>10800</v>
      </c>
    </row>
    <row r="11" spans="1:8" ht="28.8" x14ac:dyDescent="0.3">
      <c r="A11" s="2" t="s">
        <v>36</v>
      </c>
      <c r="B11" s="2" t="s">
        <v>9</v>
      </c>
      <c r="C11" s="2" t="s">
        <v>37</v>
      </c>
      <c r="D11" s="2" t="s">
        <v>80</v>
      </c>
      <c r="E11" s="2" t="s">
        <v>67</v>
      </c>
      <c r="F11" s="19">
        <v>2</v>
      </c>
      <c r="G11" s="19">
        <v>1000</v>
      </c>
      <c r="H11">
        <f t="shared" si="0"/>
        <v>2000</v>
      </c>
    </row>
    <row r="12" spans="1:8" x14ac:dyDescent="0.3">
      <c r="G12" t="s">
        <v>99</v>
      </c>
      <c r="H12">
        <f>SUM(H2:H11)</f>
        <v>210800</v>
      </c>
    </row>
    <row r="13" spans="1:8" x14ac:dyDescent="0.3">
      <c r="G13" t="s">
        <v>100</v>
      </c>
      <c r="H13">
        <f>SUMPRODUCT(F2:F11,G2:G11)</f>
        <v>210800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2440-9125-4EF5-888E-1E762DC195EC}">
  <dimension ref="A1:J15"/>
  <sheetViews>
    <sheetView workbookViewId="0">
      <selection activeCell="C4" sqref="C4"/>
    </sheetView>
  </sheetViews>
  <sheetFormatPr defaultRowHeight="14.4" x14ac:dyDescent="0.3"/>
  <cols>
    <col min="1" max="1" width="7" style="34" bestFit="1" customWidth="1"/>
    <col min="2" max="2" width="6.21875" style="34" bestFit="1" customWidth="1"/>
    <col min="3" max="3" width="8.33203125" style="34" bestFit="1" customWidth="1"/>
    <col min="4" max="4" width="7.6640625" style="34" bestFit="1" customWidth="1"/>
    <col min="5" max="5" width="6.109375" style="34" bestFit="1" customWidth="1"/>
    <col min="6" max="6" width="10.109375" style="34" bestFit="1" customWidth="1"/>
    <col min="7" max="9" width="12.88671875" style="34" bestFit="1" customWidth="1"/>
    <col min="10" max="10" width="15.21875" style="34" customWidth="1"/>
    <col min="11" max="16384" width="8.88671875" style="34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65</v>
      </c>
      <c r="E1" s="1" t="s">
        <v>3</v>
      </c>
      <c r="F1" s="1" t="s">
        <v>101</v>
      </c>
      <c r="G1" s="1" t="s">
        <v>106</v>
      </c>
      <c r="H1" s="1" t="s">
        <v>110</v>
      </c>
      <c r="I1" s="1" t="s">
        <v>111</v>
      </c>
      <c r="J1" s="34" t="s">
        <v>113</v>
      </c>
    </row>
    <row r="2" spans="1:10" x14ac:dyDescent="0.3">
      <c r="A2" s="18" t="s">
        <v>5</v>
      </c>
      <c r="B2" s="18" t="s">
        <v>6</v>
      </c>
      <c r="C2" s="18" t="s">
        <v>13</v>
      </c>
      <c r="D2" s="18" t="s">
        <v>66</v>
      </c>
      <c r="E2" s="18">
        <v>45000</v>
      </c>
      <c r="F2" s="18">
        <v>2</v>
      </c>
      <c r="G2" s="18" t="str">
        <f>IF(E2&gt;=45000,"yes","no")</f>
        <v>yes</v>
      </c>
      <c r="H2" s="34" t="str">
        <f>IF(AND(C2="IT",E2&gt;=50000),"yes","no")</f>
        <v>no</v>
      </c>
      <c r="I2" s="34" t="str">
        <f>IF(OR(C2="IT",E2&gt;=50000),"yes","no")</f>
        <v>yes</v>
      </c>
      <c r="J2" s="34">
        <f>IF(C2="IT",5000,IF(C2="Finance",4000,IF(C2="HR",3000,IF(C2="Sales",2000,0))))</f>
        <v>5000</v>
      </c>
    </row>
    <row r="3" spans="1:10" x14ac:dyDescent="0.3">
      <c r="A3" s="18" t="s">
        <v>8</v>
      </c>
      <c r="B3" s="18" t="s">
        <v>9</v>
      </c>
      <c r="C3" s="18" t="s">
        <v>10</v>
      </c>
      <c r="D3" s="18" t="s">
        <v>67</v>
      </c>
      <c r="E3" s="18">
        <v>38000</v>
      </c>
      <c r="F3" s="18">
        <v>3</v>
      </c>
      <c r="G3" s="18" t="str">
        <f t="shared" ref="G3:G11" si="0">IF(E3&gt;=45000,"yes","no")</f>
        <v>no</v>
      </c>
      <c r="H3" s="34" t="str">
        <f t="shared" ref="H3:H11" si="1">IF(AND(C3="IT",E3&gt;=50000),"yes","no")</f>
        <v>no</v>
      </c>
      <c r="I3" s="34" t="str">
        <f t="shared" ref="I3:I11" si="2">IF(OR(C3="IT",E3&gt;=50000),"yes","no")</f>
        <v>no</v>
      </c>
      <c r="J3" s="34">
        <f t="shared" ref="J3:J11" si="3">IF(C3="IT",5000,IF(C3="Finance",4000,IF(C3="HR",3000,IF(C3="Sales",2000,0))))</f>
        <v>3000</v>
      </c>
    </row>
    <row r="4" spans="1:10" x14ac:dyDescent="0.3">
      <c r="A4" s="18" t="s">
        <v>11</v>
      </c>
      <c r="B4" s="18" t="s">
        <v>12</v>
      </c>
      <c r="C4" s="18" t="s">
        <v>7</v>
      </c>
      <c r="D4" s="18" t="s">
        <v>66</v>
      </c>
      <c r="E4" s="18">
        <v>42000</v>
      </c>
      <c r="F4" s="18">
        <v>4</v>
      </c>
      <c r="G4" s="18" t="str">
        <f t="shared" si="0"/>
        <v>no</v>
      </c>
      <c r="H4" s="34" t="str">
        <f t="shared" si="1"/>
        <v>no</v>
      </c>
      <c r="I4" s="34" t="str">
        <f t="shared" si="2"/>
        <v>no</v>
      </c>
      <c r="J4" s="34">
        <f t="shared" si="3"/>
        <v>2000</v>
      </c>
    </row>
    <row r="5" spans="1:10" x14ac:dyDescent="0.3">
      <c r="A5" s="18" t="s">
        <v>14</v>
      </c>
      <c r="B5" s="18" t="s">
        <v>15</v>
      </c>
      <c r="C5" s="18" t="s">
        <v>13</v>
      </c>
      <c r="D5" s="18" t="s">
        <v>70</v>
      </c>
      <c r="E5" s="18">
        <v>50000</v>
      </c>
      <c r="F5" s="18">
        <v>5</v>
      </c>
      <c r="G5" s="18" t="str">
        <f t="shared" si="0"/>
        <v>yes</v>
      </c>
      <c r="H5" s="34" t="str">
        <f t="shared" si="1"/>
        <v>yes</v>
      </c>
      <c r="I5" s="34" t="str">
        <f t="shared" si="2"/>
        <v>yes</v>
      </c>
      <c r="J5" s="34">
        <f t="shared" si="3"/>
        <v>5000</v>
      </c>
    </row>
    <row r="6" spans="1:10" x14ac:dyDescent="0.3">
      <c r="A6" s="18" t="s">
        <v>17</v>
      </c>
      <c r="B6" s="18" t="s">
        <v>18</v>
      </c>
      <c r="C6" s="18" t="s">
        <v>69</v>
      </c>
      <c r="D6" s="18" t="s">
        <v>66</v>
      </c>
      <c r="E6" s="18">
        <v>55000</v>
      </c>
      <c r="F6" s="18">
        <v>6</v>
      </c>
      <c r="G6" s="18" t="str">
        <f t="shared" si="0"/>
        <v>yes</v>
      </c>
      <c r="H6" s="34" t="str">
        <f t="shared" si="1"/>
        <v>no</v>
      </c>
      <c r="I6" s="34" t="str">
        <f t="shared" si="2"/>
        <v>yes</v>
      </c>
      <c r="J6" s="34">
        <f t="shared" si="3"/>
        <v>4000</v>
      </c>
    </row>
    <row r="7" spans="1:10" x14ac:dyDescent="0.3">
      <c r="A7" s="18" t="s">
        <v>19</v>
      </c>
      <c r="B7" s="18" t="s">
        <v>102</v>
      </c>
      <c r="C7" s="18" t="s">
        <v>10</v>
      </c>
      <c r="D7" s="18" t="s">
        <v>70</v>
      </c>
      <c r="E7" s="18">
        <v>40000</v>
      </c>
      <c r="F7" s="18">
        <v>2</v>
      </c>
      <c r="G7" s="18" t="str">
        <f t="shared" si="0"/>
        <v>no</v>
      </c>
      <c r="H7" s="34" t="str">
        <f t="shared" si="1"/>
        <v>no</v>
      </c>
      <c r="I7" s="34" t="str">
        <f t="shared" si="2"/>
        <v>no</v>
      </c>
      <c r="J7" s="34">
        <f t="shared" si="3"/>
        <v>3000</v>
      </c>
    </row>
    <row r="8" spans="1:10" x14ac:dyDescent="0.3">
      <c r="A8" s="18" t="s">
        <v>21</v>
      </c>
      <c r="B8" s="18" t="s">
        <v>103</v>
      </c>
      <c r="C8" s="18" t="s">
        <v>7</v>
      </c>
      <c r="D8" s="18" t="s">
        <v>67</v>
      </c>
      <c r="E8" s="18">
        <v>47000</v>
      </c>
      <c r="F8" s="18">
        <v>4</v>
      </c>
      <c r="G8" s="18" t="str">
        <f t="shared" si="0"/>
        <v>yes</v>
      </c>
      <c r="H8" s="34" t="str">
        <f t="shared" si="1"/>
        <v>no</v>
      </c>
      <c r="I8" s="34" t="str">
        <f t="shared" si="2"/>
        <v>no</v>
      </c>
      <c r="J8" s="34">
        <f t="shared" si="3"/>
        <v>2000</v>
      </c>
    </row>
    <row r="9" spans="1:10" x14ac:dyDescent="0.3">
      <c r="A9" s="18" t="s">
        <v>23</v>
      </c>
      <c r="B9" s="18" t="s">
        <v>60</v>
      </c>
      <c r="C9" s="18" t="s">
        <v>13</v>
      </c>
      <c r="D9" s="18" t="s">
        <v>66</v>
      </c>
      <c r="E9" s="18">
        <v>52000</v>
      </c>
      <c r="F9" s="18">
        <v>7</v>
      </c>
      <c r="G9" s="18" t="str">
        <f t="shared" si="0"/>
        <v>yes</v>
      </c>
      <c r="H9" s="34" t="str">
        <f t="shared" si="1"/>
        <v>yes</v>
      </c>
      <c r="I9" s="34" t="str">
        <f t="shared" si="2"/>
        <v>yes</v>
      </c>
      <c r="J9" s="34">
        <f t="shared" si="3"/>
        <v>5000</v>
      </c>
    </row>
    <row r="10" spans="1:10" x14ac:dyDescent="0.3">
      <c r="A10" s="18" t="s">
        <v>73</v>
      </c>
      <c r="B10" s="18" t="s">
        <v>58</v>
      </c>
      <c r="C10" s="18" t="s">
        <v>69</v>
      </c>
      <c r="D10" s="18" t="s">
        <v>70</v>
      </c>
      <c r="E10" s="18">
        <v>60000</v>
      </c>
      <c r="F10" s="18">
        <v>8</v>
      </c>
      <c r="G10" s="18" t="str">
        <f t="shared" si="0"/>
        <v>yes</v>
      </c>
      <c r="H10" s="34" t="str">
        <f t="shared" si="1"/>
        <v>no</v>
      </c>
      <c r="I10" s="34" t="str">
        <f t="shared" si="2"/>
        <v>yes</v>
      </c>
      <c r="J10" s="34">
        <f t="shared" si="3"/>
        <v>4000</v>
      </c>
    </row>
    <row r="11" spans="1:10" x14ac:dyDescent="0.3">
      <c r="A11" s="18" t="s">
        <v>74</v>
      </c>
      <c r="B11" s="18" t="s">
        <v>52</v>
      </c>
      <c r="C11" s="18" t="s">
        <v>10</v>
      </c>
      <c r="D11" s="18" t="s">
        <v>66</v>
      </c>
      <c r="E11" s="18">
        <v>43000</v>
      </c>
      <c r="F11" s="18">
        <v>3</v>
      </c>
      <c r="G11" s="18" t="str">
        <f t="shared" si="0"/>
        <v>no</v>
      </c>
      <c r="H11" s="34" t="str">
        <f t="shared" si="1"/>
        <v>no</v>
      </c>
      <c r="I11" s="34" t="str">
        <f t="shared" si="2"/>
        <v>no</v>
      </c>
      <c r="J11" s="34">
        <f t="shared" si="3"/>
        <v>3000</v>
      </c>
    </row>
    <row r="12" spans="1:10" x14ac:dyDescent="0.3">
      <c r="G12" s="34" t="s">
        <v>105</v>
      </c>
      <c r="H12" s="34" t="s">
        <v>109</v>
      </c>
      <c r="I12" s="34" t="s">
        <v>112</v>
      </c>
      <c r="J12" s="34" t="s">
        <v>114</v>
      </c>
    </row>
    <row r="13" spans="1:10" x14ac:dyDescent="0.3">
      <c r="G13" s="34" t="s">
        <v>104</v>
      </c>
      <c r="H13" s="34" t="s">
        <v>107</v>
      </c>
      <c r="I13" s="34" t="s">
        <v>107</v>
      </c>
      <c r="J13" s="34" t="s">
        <v>116</v>
      </c>
    </row>
    <row r="14" spans="1:10" x14ac:dyDescent="0.3">
      <c r="H14" s="34" t="s">
        <v>108</v>
      </c>
      <c r="I14" s="34" t="s">
        <v>108</v>
      </c>
      <c r="J14" s="34" t="s">
        <v>115</v>
      </c>
    </row>
    <row r="15" spans="1:10" x14ac:dyDescent="0.3">
      <c r="J15" s="34" t="s">
        <v>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C04C-EF99-4C13-814F-9E3A5110C066}">
  <dimension ref="A1:G11"/>
  <sheetViews>
    <sheetView topLeftCell="B1" workbookViewId="0">
      <selection activeCell="E10" sqref="E10"/>
    </sheetView>
  </sheetViews>
  <sheetFormatPr defaultRowHeight="14.4" x14ac:dyDescent="0.3"/>
  <cols>
    <col min="1" max="1" width="18.109375" customWidth="1"/>
    <col min="5" max="5" width="15.44140625" customWidth="1"/>
  </cols>
  <sheetData>
    <row r="1" spans="1:7" x14ac:dyDescent="0.3">
      <c r="A1" s="38" t="s">
        <v>118</v>
      </c>
      <c r="B1" t="s">
        <v>126</v>
      </c>
      <c r="C1" t="s">
        <v>127</v>
      </c>
      <c r="D1" t="s">
        <v>134</v>
      </c>
      <c r="E1" s="38" t="s">
        <v>118</v>
      </c>
      <c r="F1" t="s">
        <v>135</v>
      </c>
      <c r="G1" t="s">
        <v>65</v>
      </c>
    </row>
    <row r="2" spans="1:7" x14ac:dyDescent="0.3">
      <c r="A2" s="23" t="s">
        <v>119</v>
      </c>
      <c r="B2" s="23" t="str" cm="1">
        <f t="array" ref="B2:B8">LEFT(A2:A8,6)</f>
        <v xml:space="preserve">Delhi </v>
      </c>
      <c r="C2" t="str" cm="1">
        <f t="array" ref="C2:C8">RIGHT(A2:A8,6)</f>
        <v>110086</v>
      </c>
      <c r="D2" t="str">
        <f>MID(A2,2,3)</f>
        <v>elh</v>
      </c>
      <c r="E2" s="23" t="s">
        <v>119</v>
      </c>
      <c r="F2">
        <f>FIND("-",E2,1)</f>
        <v>7</v>
      </c>
      <c r="G2" t="str">
        <f>LEFT(E2,FIND("-",E2,1)-1)</f>
        <v xml:space="preserve">Delhi </v>
      </c>
    </row>
    <row r="3" spans="1:7" x14ac:dyDescent="0.3">
      <c r="A3" s="23" t="s">
        <v>120</v>
      </c>
      <c r="B3" s="23" t="str">
        <v xml:space="preserve">Delhi </v>
      </c>
      <c r="C3" t="str">
        <v>110087</v>
      </c>
      <c r="D3" t="str">
        <f t="shared" ref="D3:D8" si="0">MID(A3,2,3)</f>
        <v>elh</v>
      </c>
      <c r="E3" s="23" t="s">
        <v>128</v>
      </c>
      <c r="F3">
        <f t="shared" ref="F3:F8" si="1">FIND("-",E3,1)</f>
        <v>8</v>
      </c>
      <c r="G3" t="str">
        <f t="shared" ref="G3:G8" si="2">LEFT(E3,FIND("-",E3,1)-1)</f>
        <v xml:space="preserve">Mumbai </v>
      </c>
    </row>
    <row r="4" spans="1:7" x14ac:dyDescent="0.3">
      <c r="A4" s="23" t="s">
        <v>121</v>
      </c>
      <c r="B4" s="23" t="str">
        <v xml:space="preserve">Delhi </v>
      </c>
      <c r="C4" t="str">
        <v>110088</v>
      </c>
      <c r="D4" t="str">
        <f t="shared" si="0"/>
        <v>elh</v>
      </c>
      <c r="E4" s="23" t="s">
        <v>129</v>
      </c>
      <c r="F4">
        <f t="shared" si="1"/>
        <v>5</v>
      </c>
      <c r="G4" t="str">
        <f t="shared" si="2"/>
        <v>Pune</v>
      </c>
    </row>
    <row r="5" spans="1:7" x14ac:dyDescent="0.3">
      <c r="A5" s="23" t="s">
        <v>122</v>
      </c>
      <c r="B5" s="23" t="str">
        <v xml:space="preserve">Delhi </v>
      </c>
      <c r="C5" t="str">
        <v>110089</v>
      </c>
      <c r="D5" t="str">
        <f t="shared" si="0"/>
        <v>elh</v>
      </c>
      <c r="E5" s="23" t="s">
        <v>130</v>
      </c>
      <c r="F5">
        <f t="shared" si="1"/>
        <v>9</v>
      </c>
      <c r="G5" t="str">
        <f t="shared" si="2"/>
        <v xml:space="preserve">channai </v>
      </c>
    </row>
    <row r="6" spans="1:7" x14ac:dyDescent="0.3">
      <c r="A6" s="23" t="s">
        <v>123</v>
      </c>
      <c r="B6" s="23" t="str">
        <v xml:space="preserve">Delhi </v>
      </c>
      <c r="C6" t="str">
        <v>110090</v>
      </c>
      <c r="D6" t="str">
        <f t="shared" si="0"/>
        <v>elh</v>
      </c>
      <c r="E6" s="23" t="s">
        <v>131</v>
      </c>
      <c r="F6">
        <f t="shared" si="1"/>
        <v>7</v>
      </c>
      <c r="G6" t="str">
        <f t="shared" si="2"/>
        <v>jaipur</v>
      </c>
    </row>
    <row r="7" spans="1:7" x14ac:dyDescent="0.3">
      <c r="A7" s="23" t="s">
        <v>124</v>
      </c>
      <c r="B7" s="23" t="str">
        <v xml:space="preserve">Delhi </v>
      </c>
      <c r="C7" t="str">
        <v>110091</v>
      </c>
      <c r="D7" t="str">
        <f t="shared" si="0"/>
        <v>elh</v>
      </c>
      <c r="E7" s="23" t="s">
        <v>132</v>
      </c>
      <c r="F7">
        <f t="shared" si="1"/>
        <v>6</v>
      </c>
      <c r="G7" t="str">
        <f t="shared" si="2"/>
        <v>bihar</v>
      </c>
    </row>
    <row r="8" spans="1:7" x14ac:dyDescent="0.3">
      <c r="A8" s="23" t="s">
        <v>125</v>
      </c>
      <c r="B8" s="23" t="str">
        <v xml:space="preserve">Delhi </v>
      </c>
      <c r="C8" t="str">
        <v>110092</v>
      </c>
      <c r="D8" t="str">
        <f t="shared" si="0"/>
        <v>elh</v>
      </c>
      <c r="E8" s="23" t="s">
        <v>133</v>
      </c>
      <c r="F8">
        <f t="shared" si="1"/>
        <v>4</v>
      </c>
      <c r="G8" t="str">
        <f t="shared" si="2"/>
        <v xml:space="preserve">UK </v>
      </c>
    </row>
    <row r="9" spans="1:7" x14ac:dyDescent="0.3">
      <c r="A9" s="23"/>
      <c r="B9" s="23"/>
    </row>
    <row r="10" spans="1:7" x14ac:dyDescent="0.3">
      <c r="A10" s="23"/>
      <c r="B10" s="23"/>
    </row>
    <row r="11" spans="1:7" x14ac:dyDescent="0.3">
      <c r="A11" s="23"/>
      <c r="B11" s="23"/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1969-2A65-4992-B205-400D6E115FBA}">
  <dimension ref="A1:F9"/>
  <sheetViews>
    <sheetView workbookViewId="0">
      <selection activeCell="E17" sqref="E17"/>
    </sheetView>
  </sheetViews>
  <sheetFormatPr defaultRowHeight="14.4" x14ac:dyDescent="0.3"/>
  <cols>
    <col min="5" max="5" width="12.33203125" bestFit="1" customWidth="1"/>
    <col min="6" max="6" width="13.5546875" bestFit="1" customWidth="1"/>
  </cols>
  <sheetData>
    <row r="1" spans="1:6" x14ac:dyDescent="0.3">
      <c r="A1" s="39" t="s">
        <v>136</v>
      </c>
      <c r="B1" s="39" t="s">
        <v>137</v>
      </c>
      <c r="C1" s="39" t="s">
        <v>138</v>
      </c>
      <c r="E1" s="41" t="s">
        <v>146</v>
      </c>
      <c r="F1" s="41" t="s">
        <v>147</v>
      </c>
    </row>
    <row r="2" spans="1:6" x14ac:dyDescent="0.3">
      <c r="A2" t="s">
        <v>139</v>
      </c>
      <c r="B2">
        <v>4</v>
      </c>
      <c r="C2" t="str">
        <f>REPT("*",B2)</f>
        <v>****</v>
      </c>
      <c r="E2" t="s">
        <v>148</v>
      </c>
      <c r="F2" t="str">
        <f>SUBSTITUTE(E2,"-","")</f>
        <v>9878547455</v>
      </c>
    </row>
    <row r="3" spans="1:6" x14ac:dyDescent="0.3">
      <c r="A3" t="s">
        <v>140</v>
      </c>
      <c r="B3">
        <v>3</v>
      </c>
      <c r="C3" t="str">
        <f t="shared" ref="C3:C6" si="0">REPT("*",B3)</f>
        <v>***</v>
      </c>
      <c r="E3" t="s">
        <v>149</v>
      </c>
      <c r="F3" t="str">
        <f>SUBSTITUTE(E3,",","-")</f>
        <v>delhi-110086</v>
      </c>
    </row>
    <row r="4" spans="1:6" x14ac:dyDescent="0.3">
      <c r="A4" t="s">
        <v>141</v>
      </c>
      <c r="B4">
        <v>4</v>
      </c>
      <c r="C4" t="str">
        <f t="shared" si="0"/>
        <v>****</v>
      </c>
      <c r="E4" t="s">
        <v>150</v>
      </c>
      <c r="F4" t="str">
        <f>SUBSTITUTE(E4," ","")</f>
        <v>yashji</v>
      </c>
    </row>
    <row r="5" spans="1:6" x14ac:dyDescent="0.3">
      <c r="A5" t="s">
        <v>142</v>
      </c>
      <c r="B5">
        <v>2</v>
      </c>
      <c r="C5" t="str">
        <f t="shared" si="0"/>
        <v>**</v>
      </c>
    </row>
    <row r="6" spans="1:6" x14ac:dyDescent="0.3">
      <c r="A6" t="s">
        <v>143</v>
      </c>
      <c r="B6">
        <v>1</v>
      </c>
      <c r="C6" t="str">
        <f t="shared" si="0"/>
        <v>*</v>
      </c>
      <c r="E6" t="s">
        <v>144</v>
      </c>
    </row>
    <row r="7" spans="1:6" ht="15" thickBot="1" x14ac:dyDescent="0.35"/>
    <row r="8" spans="1:6" ht="15.6" thickTop="1" thickBot="1" x14ac:dyDescent="0.35">
      <c r="A8" s="40" t="s">
        <v>145</v>
      </c>
    </row>
    <row r="9" spans="1:6" ht="15" thickTop="1" x14ac:dyDescent="0.3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81E6-9E0C-4CC1-80FF-D12869073513}">
  <dimension ref="A1:K36"/>
  <sheetViews>
    <sheetView tabSelected="1" topLeftCell="F12" workbookViewId="0">
      <selection activeCell="L15" sqref="L15"/>
    </sheetView>
  </sheetViews>
  <sheetFormatPr defaultRowHeight="14.4" x14ac:dyDescent="0.3"/>
  <cols>
    <col min="1" max="1" width="11.109375" bestFit="1" customWidth="1"/>
    <col min="2" max="2" width="14" bestFit="1" customWidth="1"/>
    <col min="3" max="3" width="11.5546875" bestFit="1" customWidth="1"/>
    <col min="4" max="4" width="11.21875" bestFit="1" customWidth="1"/>
    <col min="5" max="5" width="15.88671875" customWidth="1"/>
    <col min="6" max="11" width="9.33203125" customWidth="1"/>
  </cols>
  <sheetData>
    <row r="1" spans="1:11" ht="28.8" x14ac:dyDescent="0.3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11" x14ac:dyDescent="0.3">
      <c r="A2" s="2">
        <v>500000</v>
      </c>
      <c r="B2" s="43">
        <v>0.1</v>
      </c>
      <c r="C2" s="2">
        <v>5</v>
      </c>
      <c r="D2" s="2">
        <v>12</v>
      </c>
      <c r="E2" s="2">
        <v>1</v>
      </c>
    </row>
    <row r="3" spans="1:11" x14ac:dyDescent="0.3">
      <c r="A3" s="2">
        <v>300000</v>
      </c>
      <c r="B3" s="43">
        <v>0.08</v>
      </c>
      <c r="C3" s="2">
        <v>3</v>
      </c>
      <c r="D3" s="2">
        <v>12</v>
      </c>
      <c r="E3" s="2">
        <v>2</v>
      </c>
    </row>
    <row r="4" spans="1:11" x14ac:dyDescent="0.3">
      <c r="A4" s="2">
        <v>750000</v>
      </c>
      <c r="B4" s="43">
        <v>0.12</v>
      </c>
      <c r="C4" s="2">
        <v>10</v>
      </c>
      <c r="D4" s="2">
        <v>12</v>
      </c>
      <c r="E4" s="2">
        <v>3</v>
      </c>
    </row>
    <row r="5" spans="1:11" x14ac:dyDescent="0.3">
      <c r="A5" s="2">
        <v>1000000</v>
      </c>
      <c r="B5" s="43">
        <v>0.09</v>
      </c>
      <c r="C5" s="2">
        <v>15</v>
      </c>
      <c r="D5" s="2">
        <v>12</v>
      </c>
      <c r="E5" s="2">
        <v>4</v>
      </c>
    </row>
    <row r="6" spans="1:11" x14ac:dyDescent="0.3">
      <c r="A6" s="2">
        <v>250000</v>
      </c>
      <c r="B6" s="43">
        <v>7.0000000000000007E-2</v>
      </c>
      <c r="C6" s="2">
        <v>2</v>
      </c>
      <c r="D6" s="2">
        <v>12</v>
      </c>
      <c r="E6" s="2">
        <v>5</v>
      </c>
    </row>
    <row r="7" spans="1:11" x14ac:dyDescent="0.3">
      <c r="A7" s="2">
        <v>600000</v>
      </c>
      <c r="B7" s="43">
        <v>0.11</v>
      </c>
      <c r="C7" s="2">
        <v>8</v>
      </c>
      <c r="D7" s="2">
        <v>12</v>
      </c>
      <c r="E7" s="2">
        <v>6</v>
      </c>
    </row>
    <row r="8" spans="1:11" x14ac:dyDescent="0.3">
      <c r="A8" s="2">
        <v>450000</v>
      </c>
      <c r="B8" s="44">
        <v>9.5000000000000001E-2</v>
      </c>
      <c r="C8" s="2">
        <v>6</v>
      </c>
      <c r="D8" s="2">
        <v>12</v>
      </c>
      <c r="E8" s="2">
        <v>7</v>
      </c>
    </row>
    <row r="9" spans="1:11" x14ac:dyDescent="0.3">
      <c r="A9" s="2">
        <v>800000</v>
      </c>
      <c r="B9" s="44">
        <v>0.105</v>
      </c>
      <c r="C9" s="2">
        <v>12</v>
      </c>
      <c r="D9" s="2">
        <v>12</v>
      </c>
      <c r="E9" s="2">
        <v>8</v>
      </c>
    </row>
    <row r="10" spans="1:11" x14ac:dyDescent="0.3">
      <c r="A10" s="2">
        <v>350000</v>
      </c>
      <c r="B10" s="44">
        <v>8.5000000000000006E-2</v>
      </c>
      <c r="C10" s="2">
        <v>4</v>
      </c>
      <c r="D10" s="2">
        <v>12</v>
      </c>
      <c r="E10" s="2">
        <v>9</v>
      </c>
    </row>
    <row r="11" spans="1:11" x14ac:dyDescent="0.3">
      <c r="A11" s="2">
        <v>1200000</v>
      </c>
      <c r="B11" s="43">
        <v>0.13</v>
      </c>
      <c r="C11" s="2">
        <v>20</v>
      </c>
      <c r="D11" s="2">
        <v>12</v>
      </c>
      <c r="E11" s="2">
        <v>10</v>
      </c>
    </row>
    <row r="14" spans="1:11" x14ac:dyDescent="0.3">
      <c r="A14" s="41" t="s">
        <v>156</v>
      </c>
      <c r="B14" s="45" t="s">
        <v>160</v>
      </c>
      <c r="C14" s="45"/>
    </row>
    <row r="15" spans="1:11" s="46" customFormat="1" x14ac:dyDescent="0.3">
      <c r="B15" s="46" t="s">
        <v>162</v>
      </c>
      <c r="E15" s="46" t="s">
        <v>173</v>
      </c>
      <c r="G15" s="46" t="s">
        <v>178</v>
      </c>
      <c r="H15" s="1" t="s">
        <v>156</v>
      </c>
      <c r="I15" s="1" t="s">
        <v>157</v>
      </c>
      <c r="J15" s="1" t="s">
        <v>158</v>
      </c>
      <c r="K15" s="46" t="s">
        <v>166</v>
      </c>
    </row>
    <row r="16" spans="1:11" x14ac:dyDescent="0.3">
      <c r="A16" t="s">
        <v>161</v>
      </c>
      <c r="B16" t="s">
        <v>163</v>
      </c>
      <c r="C16" s="42">
        <v>0.1</v>
      </c>
      <c r="D16" t="s">
        <v>170</v>
      </c>
      <c r="E16" t="s">
        <v>174</v>
      </c>
      <c r="G16" s="46">
        <v>1</v>
      </c>
      <c r="H16" s="48">
        <f>PMT(10/12,C18,-C17)</f>
        <v>83528.05668208409</v>
      </c>
    </row>
    <row r="17" spans="1:8" x14ac:dyDescent="0.3">
      <c r="B17" t="s">
        <v>164</v>
      </c>
      <c r="C17">
        <v>100000</v>
      </c>
      <c r="D17" t="s">
        <v>171</v>
      </c>
      <c r="E17" t="s">
        <v>175</v>
      </c>
      <c r="G17" s="46">
        <v>2</v>
      </c>
    </row>
    <row r="18" spans="1:8" x14ac:dyDescent="0.3">
      <c r="B18" t="s">
        <v>165</v>
      </c>
      <c r="C18">
        <v>10</v>
      </c>
      <c r="D18" t="s">
        <v>172</v>
      </c>
      <c r="E18" t="s">
        <v>176</v>
      </c>
      <c r="G18" s="46">
        <v>3</v>
      </c>
    </row>
    <row r="19" spans="1:8" x14ac:dyDescent="0.3">
      <c r="G19" s="46">
        <v>4</v>
      </c>
    </row>
    <row r="20" spans="1:8" x14ac:dyDescent="0.3">
      <c r="A20" t="s">
        <v>156</v>
      </c>
      <c r="B20" t="s">
        <v>166</v>
      </c>
      <c r="C20" s="47">
        <f>PMT(C16/12,C18,-C17)</f>
        <v>10464.038098938856</v>
      </c>
      <c r="G20" s="46">
        <v>5</v>
      </c>
    </row>
    <row r="21" spans="1:8" x14ac:dyDescent="0.3">
      <c r="A21" t="s">
        <v>177</v>
      </c>
      <c r="B21" t="s">
        <v>168</v>
      </c>
      <c r="C21" s="47">
        <f>C20*C18</f>
        <v>104640.38098938856</v>
      </c>
      <c r="G21" s="46">
        <v>6</v>
      </c>
    </row>
    <row r="22" spans="1:8" x14ac:dyDescent="0.3">
      <c r="A22" t="s">
        <v>167</v>
      </c>
      <c r="B22" t="s">
        <v>169</v>
      </c>
      <c r="C22" s="47">
        <f>C21-C17</f>
        <v>4640.3809893885627</v>
      </c>
      <c r="G22" s="46">
        <v>7</v>
      </c>
    </row>
    <row r="23" spans="1:8" x14ac:dyDescent="0.3">
      <c r="C23" t="s">
        <v>144</v>
      </c>
      <c r="G23" s="46">
        <v>8</v>
      </c>
    </row>
    <row r="24" spans="1:8" x14ac:dyDescent="0.3">
      <c r="G24" s="46">
        <v>9</v>
      </c>
    </row>
    <row r="25" spans="1:8" x14ac:dyDescent="0.3">
      <c r="G25" s="46">
        <v>10</v>
      </c>
    </row>
    <row r="26" spans="1:8" ht="28.8" x14ac:dyDescent="0.3">
      <c r="A26" s="1" t="s">
        <v>151</v>
      </c>
      <c r="B26" s="1" t="s">
        <v>152</v>
      </c>
      <c r="C26" s="1" t="s">
        <v>153</v>
      </c>
      <c r="D26" s="1" t="s">
        <v>154</v>
      </c>
      <c r="E26" s="1" t="s">
        <v>155</v>
      </c>
      <c r="F26" s="1" t="s">
        <v>156</v>
      </c>
      <c r="G26" s="1" t="s">
        <v>157</v>
      </c>
      <c r="H26" s="1" t="s">
        <v>158</v>
      </c>
    </row>
    <row r="27" spans="1:8" x14ac:dyDescent="0.3">
      <c r="A27" s="2">
        <v>500000</v>
      </c>
      <c r="B27" s="43">
        <v>0.1</v>
      </c>
      <c r="C27" s="2">
        <v>5</v>
      </c>
      <c r="D27" s="2">
        <v>12</v>
      </c>
      <c r="E27" s="2">
        <v>1</v>
      </c>
      <c r="F27" s="2" t="s">
        <v>159</v>
      </c>
      <c r="G27" s="2" t="s">
        <v>159</v>
      </c>
      <c r="H27" s="2" t="s">
        <v>159</v>
      </c>
    </row>
    <row r="28" spans="1:8" x14ac:dyDescent="0.3">
      <c r="A28" s="2">
        <v>300000</v>
      </c>
      <c r="B28" s="43">
        <v>0.08</v>
      </c>
      <c r="C28" s="2">
        <v>3</v>
      </c>
      <c r="D28" s="2">
        <v>12</v>
      </c>
      <c r="E28" s="2">
        <v>2</v>
      </c>
      <c r="F28" s="2" t="s">
        <v>159</v>
      </c>
      <c r="G28" s="2" t="s">
        <v>159</v>
      </c>
      <c r="H28" s="2" t="s">
        <v>159</v>
      </c>
    </row>
    <row r="29" spans="1:8" x14ac:dyDescent="0.3">
      <c r="A29" s="2">
        <v>750000</v>
      </c>
      <c r="B29" s="43">
        <v>0.12</v>
      </c>
      <c r="C29" s="2">
        <v>10</v>
      </c>
      <c r="D29" s="2">
        <v>12</v>
      </c>
      <c r="E29" s="2">
        <v>3</v>
      </c>
      <c r="F29" s="2" t="s">
        <v>159</v>
      </c>
      <c r="G29" s="2" t="s">
        <v>159</v>
      </c>
      <c r="H29" s="2" t="s">
        <v>159</v>
      </c>
    </row>
    <row r="30" spans="1:8" x14ac:dyDescent="0.3">
      <c r="A30" s="2">
        <v>1000000</v>
      </c>
      <c r="B30" s="43">
        <v>0.09</v>
      </c>
      <c r="C30" s="2">
        <v>15</v>
      </c>
      <c r="D30" s="2">
        <v>12</v>
      </c>
      <c r="E30" s="2">
        <v>4</v>
      </c>
      <c r="F30" s="2" t="s">
        <v>159</v>
      </c>
      <c r="G30" s="2" t="s">
        <v>159</v>
      </c>
      <c r="H30" s="2" t="s">
        <v>159</v>
      </c>
    </row>
    <row r="31" spans="1:8" x14ac:dyDescent="0.3">
      <c r="A31" s="2">
        <v>250000</v>
      </c>
      <c r="B31" s="43">
        <v>7.0000000000000007E-2</v>
      </c>
      <c r="C31" s="2">
        <v>2</v>
      </c>
      <c r="D31" s="2">
        <v>12</v>
      </c>
      <c r="E31" s="2">
        <v>5</v>
      </c>
      <c r="F31" s="2" t="s">
        <v>159</v>
      </c>
      <c r="G31" s="2" t="s">
        <v>159</v>
      </c>
      <c r="H31" s="2" t="s">
        <v>159</v>
      </c>
    </row>
    <row r="32" spans="1:8" x14ac:dyDescent="0.3">
      <c r="A32" s="2">
        <v>600000</v>
      </c>
      <c r="B32" s="43">
        <v>0.11</v>
      </c>
      <c r="C32" s="2">
        <v>8</v>
      </c>
      <c r="D32" s="2">
        <v>12</v>
      </c>
      <c r="E32" s="2">
        <v>6</v>
      </c>
      <c r="F32" s="2" t="s">
        <v>159</v>
      </c>
      <c r="G32" s="2" t="s">
        <v>159</v>
      </c>
      <c r="H32" s="2" t="s">
        <v>159</v>
      </c>
    </row>
    <row r="33" spans="1:8" x14ac:dyDescent="0.3">
      <c r="A33" s="2">
        <v>450000</v>
      </c>
      <c r="B33" s="44">
        <v>9.5000000000000001E-2</v>
      </c>
      <c r="C33" s="2">
        <v>6</v>
      </c>
      <c r="D33" s="2">
        <v>12</v>
      </c>
      <c r="E33" s="2">
        <v>7</v>
      </c>
      <c r="F33" s="2" t="s">
        <v>159</v>
      </c>
      <c r="G33" s="2" t="s">
        <v>159</v>
      </c>
      <c r="H33" s="2" t="s">
        <v>159</v>
      </c>
    </row>
    <row r="34" spans="1:8" x14ac:dyDescent="0.3">
      <c r="A34" s="2">
        <v>800000</v>
      </c>
      <c r="B34" s="44">
        <v>0.105</v>
      </c>
      <c r="C34" s="2">
        <v>12</v>
      </c>
      <c r="D34" s="2">
        <v>12</v>
      </c>
      <c r="E34" s="2">
        <v>8</v>
      </c>
      <c r="F34" s="2" t="s">
        <v>159</v>
      </c>
      <c r="G34" s="2" t="s">
        <v>159</v>
      </c>
      <c r="H34" s="2" t="s">
        <v>159</v>
      </c>
    </row>
    <row r="35" spans="1:8" x14ac:dyDescent="0.3">
      <c r="A35" s="2">
        <v>350000</v>
      </c>
      <c r="B35" s="44">
        <v>8.5000000000000006E-2</v>
      </c>
      <c r="C35" s="2">
        <v>4</v>
      </c>
      <c r="D35" s="2">
        <v>12</v>
      </c>
      <c r="E35" s="2">
        <v>9</v>
      </c>
      <c r="F35" s="2" t="s">
        <v>159</v>
      </c>
      <c r="G35" s="2" t="s">
        <v>159</v>
      </c>
      <c r="H35" s="2" t="s">
        <v>159</v>
      </c>
    </row>
    <row r="36" spans="1:8" x14ac:dyDescent="0.3">
      <c r="A36" s="2">
        <v>1200000</v>
      </c>
      <c r="B36" s="43">
        <v>0.13</v>
      </c>
      <c r="C36" s="2">
        <v>20</v>
      </c>
      <c r="D36" s="2">
        <v>12</v>
      </c>
      <c r="E36" s="2">
        <v>10</v>
      </c>
      <c r="F36" s="2" t="s">
        <v>159</v>
      </c>
      <c r="G36" s="2" t="s">
        <v>159</v>
      </c>
      <c r="H36" s="2" t="s">
        <v>159</v>
      </c>
    </row>
  </sheetData>
  <mergeCells count="1"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frequency</vt:lpstr>
      <vt:lpstr>index and match</vt:lpstr>
      <vt:lpstr>LOOKUP</vt:lpstr>
      <vt:lpstr>VLOOKUP</vt:lpstr>
      <vt:lpstr>hlookup</vt:lpstr>
      <vt:lpstr>sumif</vt:lpstr>
      <vt:lpstr>countif</vt:lpstr>
      <vt:lpstr>countA and countBlank</vt:lpstr>
      <vt:lpstr>AvgrageIF and average ifs</vt:lpstr>
      <vt:lpstr>subtotal</vt:lpstr>
      <vt:lpstr>subproduct</vt:lpstr>
      <vt:lpstr>IF Formula</vt:lpstr>
      <vt:lpstr>left , Mid , right , find</vt:lpstr>
      <vt:lpstr>repeat  &amp; substitue</vt:lpstr>
      <vt:lpstr>| Loan Amount | Annual Rate | Y</vt:lpstr>
      <vt:lpstr>booktable</vt:lpstr>
      <vt:lpstr>list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2026-06-22T15:56:50Z</dcterms:created>
  <dcterms:modified xsi:type="dcterms:W3CDTF">2026-06-23T18:54:01Z</dcterms:modified>
</cp:coreProperties>
</file>