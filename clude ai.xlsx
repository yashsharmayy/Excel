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F92A862A-FF75-447B-96EF-DBD686A55F5B}" xr6:coauthVersionLast="47" xr6:coauthVersionMax="47" xr10:uidLastSave="{00000000-0000-0000-0000-000000000000}"/>
  <bookViews>
    <workbookView xWindow="11424" yWindow="0" windowWidth="11712" windowHeight="12336" firstSheet="1" activeTab="2" xr2:uid="{302D390F-EEEC-443E-BAB1-686244225E42}"/>
  </bookViews>
  <sheets>
    <sheet name="Sheet1" sheetId="1" r:id="rId1"/>
    <sheet name="Report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K32" i="1"/>
  <c r="K33" i="1"/>
  <c r="K34" i="1"/>
  <c r="N2" i="1"/>
  <c r="N3" i="1"/>
  <c r="N4" i="1"/>
  <c r="N6" i="1" a="1"/>
  <c r="N6" i="1" s="1"/>
  <c r="N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<sst xmlns="http://schemas.openxmlformats.org/spreadsheetml/2006/main" count="726" uniqueCount="278">
  <si>
    <t>EmployeeID</t>
  </si>
  <si>
    <t>Name</t>
  </si>
  <si>
    <t>Department</t>
  </si>
  <si>
    <t>Age</t>
  </si>
  <si>
    <t>City</t>
  </si>
  <si>
    <t>Salary</t>
  </si>
  <si>
    <t>Experience</t>
  </si>
  <si>
    <t>Email</t>
  </si>
  <si>
    <t>Phone</t>
  </si>
  <si>
    <t>Status</t>
  </si>
  <si>
    <t>Amit Sharma</t>
  </si>
  <si>
    <t>HR</t>
  </si>
  <si>
    <t>Delhi</t>
  </si>
  <si>
    <t>amit@gmail.com</t>
  </si>
  <si>
    <t>Active</t>
  </si>
  <si>
    <t>Priya Singh</t>
  </si>
  <si>
    <t>Finance</t>
  </si>
  <si>
    <t>Mumbai</t>
  </si>
  <si>
    <t>priya@gmail.com</t>
  </si>
  <si>
    <t>Rahul Verma</t>
  </si>
  <si>
    <t>IT</t>
  </si>
  <si>
    <t>Bangalore</t>
  </si>
  <si>
    <t>rahul@gmail.com</t>
  </si>
  <si>
    <t>Neha Gupta</t>
  </si>
  <si>
    <t>Marketing</t>
  </si>
  <si>
    <t>neha@gmail.com</t>
  </si>
  <si>
    <t>Inactive</t>
  </si>
  <si>
    <t>Arjun Mehta</t>
  </si>
  <si>
    <t>Sales</t>
  </si>
  <si>
    <t>Pune</t>
  </si>
  <si>
    <t>Sonia Kapoor</t>
  </si>
  <si>
    <t>Hyderabad</t>
  </si>
  <si>
    <t>sonia@gmail.com</t>
  </si>
  <si>
    <t>Chennai</t>
  </si>
  <si>
    <t>finance8@gmail.com</t>
  </si>
  <si>
    <t>Vikas Yadav</t>
  </si>
  <si>
    <t>vikas@gmail.com</t>
  </si>
  <si>
    <t>Anjali Jain</t>
  </si>
  <si>
    <t>Jaipur</t>
  </si>
  <si>
    <t>anjali@gmail.com</t>
  </si>
  <si>
    <t>Rohit Kumar</t>
  </si>
  <si>
    <t>Lucknow</t>
  </si>
  <si>
    <t>rohit@gmail.com</t>
  </si>
  <si>
    <t>Deepak Mishra</t>
  </si>
  <si>
    <t>deepak@gmail.com</t>
  </si>
  <si>
    <t>Pooja Arora</t>
  </si>
  <si>
    <t>pooja@gmail.com</t>
  </si>
  <si>
    <t>Karan Malhotra</t>
  </si>
  <si>
    <t>Noida</t>
  </si>
  <si>
    <t>karan@gmail.com</t>
  </si>
  <si>
    <t>Nisha Sharma</t>
  </si>
  <si>
    <t>nisha@gmail.com</t>
  </si>
  <si>
    <t>Aakash Singh</t>
  </si>
  <si>
    <t>aakash@gmail.com</t>
  </si>
  <si>
    <t>Meera Joshi</t>
  </si>
  <si>
    <t>meera@gmail.com</t>
  </si>
  <si>
    <t>Raj Patel</t>
  </si>
  <si>
    <t>raj@gmail.com</t>
  </si>
  <si>
    <t>Simran Kaur</t>
  </si>
  <si>
    <t>Chandigarh</t>
  </si>
  <si>
    <t>simran@gmail.com</t>
  </si>
  <si>
    <t>Aditya Roy</t>
  </si>
  <si>
    <t>Kolkata</t>
  </si>
  <si>
    <t>aditya@gmail.com</t>
  </si>
  <si>
    <t>Kavita Sharma</t>
  </si>
  <si>
    <t>kavita@gmail.com</t>
  </si>
  <si>
    <t>Harsh Jain</t>
  </si>
  <si>
    <t>harsh@gmail.com</t>
  </si>
  <si>
    <t>Ankit Verma</t>
  </si>
  <si>
    <t>ankit@gmail.com</t>
  </si>
  <si>
    <t>Ritu Sharma</t>
  </si>
  <si>
    <t>ritu@gmail.com</t>
  </si>
  <si>
    <t>Sachin Yadav</t>
  </si>
  <si>
    <t>sachin@gmail.com</t>
  </si>
  <si>
    <t>Divya Kapoor</t>
  </si>
  <si>
    <t>Manish Gupta</t>
  </si>
  <si>
    <t>manish@gmail.com</t>
  </si>
  <si>
    <t>Preeti Singh</t>
  </si>
  <si>
    <t>preeti@gmail.com</t>
  </si>
  <si>
    <t>Nitin Sharma</t>
  </si>
  <si>
    <t>nitin@gmail.com</t>
  </si>
  <si>
    <t>Riya Arora</t>
  </si>
  <si>
    <t>riya@gmail.com</t>
  </si>
  <si>
    <t>Ayush Mehta</t>
  </si>
  <si>
    <t>Ahmedabad</t>
  </si>
  <si>
    <t>ayush@gmail.com</t>
  </si>
  <si>
    <t>Tanya Jain</t>
  </si>
  <si>
    <t>tanya@gmail.com</t>
  </si>
  <si>
    <t>Suraj Kumar</t>
  </si>
  <si>
    <t>suraj@gmail.com</t>
  </si>
  <si>
    <t>Isha Sharma</t>
  </si>
  <si>
    <t>isha@gmail.com</t>
  </si>
  <si>
    <t>Employee Roster Summary</t>
  </si>
  <si>
    <t>Total Employees</t>
  </si>
  <si>
    <t>Active Employees</t>
  </si>
  <si>
    <t>Inactive Employees</t>
  </si>
  <si>
    <t>Duplicate Employee IDs</t>
  </si>
  <si>
    <t>Average Salary</t>
  </si>
  <si>
    <t>Last Updated</t>
  </si>
  <si>
    <t>Not Provided</t>
  </si>
  <si>
    <t>Review</t>
  </si>
  <si>
    <t>Data Quality Note</t>
  </si>
  <si>
    <t>Fill Log Row</t>
  </si>
  <si>
    <t>Field</t>
  </si>
  <si>
    <t>Filled Value</t>
  </si>
  <si>
    <t>Method</t>
  </si>
  <si>
    <t>Filled with department median</t>
  </si>
  <si>
    <t>Placeholder; source data required</t>
  </si>
  <si>
    <t>Rows Needing Verification</t>
  </si>
  <si>
    <t>Employee Roster Report</t>
  </si>
  <si>
    <t>Generated from Sheet1 employee roster | Last updated 2026-07-16</t>
  </si>
  <si>
    <t>Metric</t>
  </si>
  <si>
    <t>Value</t>
  </si>
  <si>
    <t>Review Status Employees</t>
  </si>
  <si>
    <t>Rows Needing Source Verification</t>
  </si>
  <si>
    <t>Average Experience</t>
  </si>
  <si>
    <t>Unique Departments</t>
  </si>
  <si>
    <t>Headcount</t>
  </si>
  <si>
    <t>Avg Salary</t>
  </si>
  <si>
    <t>Avg Experience</t>
  </si>
  <si>
    <t>Count</t>
  </si>
  <si>
    <t>Filled Field</t>
  </si>
  <si>
    <t>Report Notes</t>
  </si>
  <si>
    <t>Numeric blanks were filled using department medians where possible; otherwise overall medians.</t>
  </si>
  <si>
    <t>Text/contact blanks use Not Provided and missing statuses use Review so source gaps remain visible.</t>
  </si>
  <si>
    <t>Use Sheet1 Data Quality Note and Fill Log to audit rows requiring source verification.</t>
  </si>
  <si>
    <t>Best Employee Identified</t>
  </si>
  <si>
    <t>Selection Method</t>
  </si>
  <si>
    <t>Active employees ranked by Salary; Experience used as tie-breaker</t>
  </si>
  <si>
    <t>Complete / Filled</t>
  </si>
  <si>
    <t>Source Row</t>
  </si>
  <si>
    <t>Complete / Filled | Best Employee</t>
  </si>
  <si>
    <t>OrderID</t>
  </si>
  <si>
    <t>OrderDate</t>
  </si>
  <si>
    <t>CustomerName</t>
  </si>
  <si>
    <t>Product</t>
  </si>
  <si>
    <t>Category</t>
  </si>
  <si>
    <t>Region</t>
  </si>
  <si>
    <t>SalesPerson</t>
  </si>
  <si>
    <t>Quantity</t>
  </si>
  <si>
    <t>UnitPrice</t>
  </si>
  <si>
    <t>Discount(%)</t>
  </si>
  <si>
    <t>TotalAmount</t>
  </si>
  <si>
    <t>PaymentMethod</t>
  </si>
  <si>
    <t>OrderStatus</t>
  </si>
  <si>
    <t>ORD1001</t>
  </si>
  <si>
    <t>Rahul Sharma</t>
  </si>
  <si>
    <t>Laptop</t>
  </si>
  <si>
    <t>Electronics</t>
  </si>
  <si>
    <t>North</t>
  </si>
  <si>
    <t>Amit</t>
  </si>
  <si>
    <t>Credit Card</t>
  </si>
  <si>
    <t>Delivered</t>
  </si>
  <si>
    <t>ORD1002</t>
  </si>
  <si>
    <t>Mouse</t>
  </si>
  <si>
    <t>Accessories</t>
  </si>
  <si>
    <t>West</t>
  </si>
  <si>
    <t>Neha</t>
  </si>
  <si>
    <t>UPI</t>
  </si>
  <si>
    <t>ORD1003</t>
  </si>
  <si>
    <t>Keyboard</t>
  </si>
  <si>
    <t>South</t>
  </si>
  <si>
    <t>Rohit</t>
  </si>
  <si>
    <t>Cash</t>
  </si>
  <si>
    <t>ORD1004</t>
  </si>
  <si>
    <t>Sneha Kapoor</t>
  </si>
  <si>
    <t>Monitor</t>
  </si>
  <si>
    <t>East</t>
  </si>
  <si>
    <t>Pooja</t>
  </si>
  <si>
    <t>Net Banking</t>
  </si>
  <si>
    <t>ORD1005</t>
  </si>
  <si>
    <t>Vikas Kumar</t>
  </si>
  <si>
    <t>Headphones</t>
  </si>
  <si>
    <t>ORD1006</t>
  </si>
  <si>
    <t>Anjali Verma</t>
  </si>
  <si>
    <t>Smartphone</t>
  </si>
  <si>
    <t>ORD1007</t>
  </si>
  <si>
    <t>Karan Gupta</t>
  </si>
  <si>
    <t>Tablet</t>
  </si>
  <si>
    <t>Pending</t>
  </si>
  <si>
    <t>ORD1008</t>
  </si>
  <si>
    <t>Printer</t>
  </si>
  <si>
    <t>Office</t>
  </si>
  <si>
    <t>ORD1009</t>
  </si>
  <si>
    <t>Rohan Jain</t>
  </si>
  <si>
    <t>Desk Chair</t>
  </si>
  <si>
    <t>Furniture</t>
  </si>
  <si>
    <t>ORD1010</t>
  </si>
  <si>
    <t>Office Desk</t>
  </si>
  <si>
    <t>ORD1011</t>
  </si>
  <si>
    <t>Deepak Singh</t>
  </si>
  <si>
    <t>ORD1012</t>
  </si>
  <si>
    <t>Nisha Arora</t>
  </si>
  <si>
    <t>USB Drive</t>
  </si>
  <si>
    <t>ORD1013</t>
  </si>
  <si>
    <t>Ayush Sharma</t>
  </si>
  <si>
    <t>Router</t>
  </si>
  <si>
    <t>Networking</t>
  </si>
  <si>
    <t>ORD1014</t>
  </si>
  <si>
    <t>Ritika Jain</t>
  </si>
  <si>
    <t>Webcam</t>
  </si>
  <si>
    <t>Cancelled</t>
  </si>
  <si>
    <t>ORD1015</t>
  </si>
  <si>
    <t>Projector</t>
  </si>
  <si>
    <t>ORD1016</t>
  </si>
  <si>
    <t>Pooja Mishra</t>
  </si>
  <si>
    <t>SSD 1TB</t>
  </si>
  <si>
    <t>Storage</t>
  </si>
  <si>
    <t>ORD1017</t>
  </si>
  <si>
    <t>Harsh Patel</t>
  </si>
  <si>
    <t>Power Bank</t>
  </si>
  <si>
    <t>ORD1018</t>
  </si>
  <si>
    <t>Tanya Sharma</t>
  </si>
  <si>
    <t>Smartwatch</t>
  </si>
  <si>
    <t>Wearables</t>
  </si>
  <si>
    <t>ORD1019</t>
  </si>
  <si>
    <t>Camera</t>
  </si>
  <si>
    <t>ORD1020</t>
  </si>
  <si>
    <t>Kavita Gupta</t>
  </si>
  <si>
    <t>Speaker</t>
  </si>
  <si>
    <t>ORD1021</t>
  </si>
  <si>
    <t>Manish Kumar</t>
  </si>
  <si>
    <t>ORD1022</t>
  </si>
  <si>
    <t>Divya Arora</t>
  </si>
  <si>
    <t>ORD1023</t>
  </si>
  <si>
    <t>Aman Verma</t>
  </si>
  <si>
    <t>ORD1024</t>
  </si>
  <si>
    <t>Riya Kapoor</t>
  </si>
  <si>
    <t>SSD 512GB</t>
  </si>
  <si>
    <t>ORD1025</t>
  </si>
  <si>
    <t>ORD1026</t>
  </si>
  <si>
    <t>Sonia Mehta</t>
  </si>
  <si>
    <t>ORD1027</t>
  </si>
  <si>
    <t>Vivek Singh</t>
  </si>
  <si>
    <t>ORD1028</t>
  </si>
  <si>
    <t>Isha Jain</t>
  </si>
  <si>
    <t>ORD1029</t>
  </si>
  <si>
    <t>Rohit Arora</t>
  </si>
  <si>
    <t>ORD1030</t>
  </si>
  <si>
    <t>ORD1031</t>
  </si>
  <si>
    <t>Ajay Kumar</t>
  </si>
  <si>
    <t>ORD1032</t>
  </si>
  <si>
    <t>Ankit Sharma</t>
  </si>
  <si>
    <t>ORD1033</t>
  </si>
  <si>
    <t>ORD1034</t>
  </si>
  <si>
    <t>Raj Verma</t>
  </si>
  <si>
    <t>ORD1035</t>
  </si>
  <si>
    <t>Komal Jain</t>
  </si>
  <si>
    <t>ORD1036</t>
  </si>
  <si>
    <t>Harshit Gupta</t>
  </si>
  <si>
    <t>ORD1037</t>
  </si>
  <si>
    <t>Megha Sharma</t>
  </si>
  <si>
    <t>ORD1038</t>
  </si>
  <si>
    <t>Akash Patel</t>
  </si>
  <si>
    <t>ORD1039</t>
  </si>
  <si>
    <t>Shreya Kapoor</t>
  </si>
  <si>
    <t>ORD1040</t>
  </si>
  <si>
    <t>Ritesh Kumar</t>
  </si>
  <si>
    <t>ORD1041</t>
  </si>
  <si>
    <t>Aditi Sharma</t>
  </si>
  <si>
    <t>ORD1042</t>
  </si>
  <si>
    <t>Sahil Mehta</t>
  </si>
  <si>
    <t>ORD1043</t>
  </si>
  <si>
    <t>Pallavi Jain</t>
  </si>
  <si>
    <t>ORD1044</t>
  </si>
  <si>
    <t>Mohit Verma</t>
  </si>
  <si>
    <t>ORD1045</t>
  </si>
  <si>
    <t>Yash Sharma</t>
  </si>
  <si>
    <t>ORD1046</t>
  </si>
  <si>
    <t>Nikhil Arora</t>
  </si>
  <si>
    <t>ORD1047</t>
  </si>
  <si>
    <t>Suman Gupta</t>
  </si>
  <si>
    <t>ORD1048</t>
  </si>
  <si>
    <t>Aarti Singh</t>
  </si>
  <si>
    <t>ORD1049</t>
  </si>
  <si>
    <t>Gaurav Kumar</t>
  </si>
  <si>
    <t>ORD1050</t>
  </si>
  <si>
    <t>Ritika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</si>
</sst>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9C65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13" xfId="0" applyFont="1" applyFill="1" applyBorder="1"/>
    <xf numFmtId="0" fontId="2" fillId="3" borderId="16" xfId="0" applyFont="1" applyFill="1" applyBorder="1"/>
    <xf numFmtId="0" fontId="0" fillId="0" borderId="17" xfId="0" applyBorder="1"/>
    <xf numFmtId="14" fontId="0" fillId="0" borderId="18" xfId="0" applyNumberFormat="1" applyBorder="1"/>
    <xf numFmtId="0" fontId="1" fillId="0" borderId="14" xfId="0" applyFont="1" applyBorder="1"/>
    <xf numFmtId="0" fontId="1" fillId="0" borderId="15" xfId="0" applyFont="1" applyBorder="1"/>
    <xf numFmtId="3" fontId="0" fillId="0" borderId="17" xfId="0" applyNumberFormat="1" applyBorder="1"/>
    <xf numFmtId="0" fontId="2" fillId="4" borderId="0" xfId="0" applyFont="1" applyFill="1"/>
    <xf numFmtId="0" fontId="6" fillId="2" borderId="0" xfId="0" applyFont="1" applyFill="1"/>
    <xf numFmtId="0" fontId="7" fillId="0" borderId="0" xfId="0" applyFont="1"/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  <xf numFmtId="3" fontId="0" fillId="0" borderId="2" xfId="0" applyNumberFormat="1" applyBorder="1"/>
    <xf numFmtId="3" fontId="0" fillId="0" borderId="3" xfId="0" applyNumberFormat="1" applyBorder="1"/>
    <xf numFmtId="0" fontId="3" fillId="0" borderId="4" xfId="0" applyFont="1" applyFill="1" applyBorder="1"/>
    <xf numFmtId="0" fontId="3" fillId="0" borderId="5" xfId="0" applyFont="1" applyFill="1" applyBorder="1"/>
    <xf numFmtId="3" fontId="3" fillId="0" borderId="5" xfId="0" applyNumberFormat="1" applyFont="1" applyFill="1" applyBorder="1"/>
    <xf numFmtId="1" fontId="3" fillId="0" borderId="5" xfId="0" applyNumberFormat="1" applyFont="1" applyFill="1" applyBorder="1"/>
    <xf numFmtId="0" fontId="3" fillId="0" borderId="6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3" fontId="3" fillId="0" borderId="8" xfId="0" applyNumberFormat="1" applyFont="1" applyFill="1" applyBorder="1"/>
    <xf numFmtId="1" fontId="3" fillId="0" borderId="8" xfId="0" applyNumberFormat="1" applyFont="1" applyFill="1" applyBorder="1"/>
    <xf numFmtId="0" fontId="3" fillId="0" borderId="9" xfId="0" applyFont="1" applyFill="1" applyBorder="1"/>
    <xf numFmtId="0" fontId="4" fillId="0" borderId="8" xfId="0" applyFont="1" applyFill="1" applyBorder="1"/>
    <xf numFmtId="1" fontId="5" fillId="0" borderId="8" xfId="0" applyNumberFormat="1" applyFont="1" applyFill="1" applyBorder="1"/>
    <xf numFmtId="3" fontId="4" fillId="0" borderId="8" xfId="0" applyNumberFormat="1" applyFont="1" applyFill="1" applyBorder="1"/>
    <xf numFmtId="0" fontId="5" fillId="0" borderId="8" xfId="0" applyFont="1" applyFill="1" applyBorder="1"/>
    <xf numFmtId="0" fontId="3" fillId="0" borderId="10" xfId="0" applyFont="1" applyFill="1" applyBorder="1"/>
    <xf numFmtId="0" fontId="3" fillId="0" borderId="11" xfId="0" applyFont="1" applyFill="1" applyBorder="1"/>
    <xf numFmtId="3" fontId="3" fillId="0" borderId="11" xfId="0" applyNumberFormat="1" applyFont="1" applyFill="1" applyBorder="1"/>
    <xf numFmtId="1" fontId="3" fillId="0" borderId="11" xfId="0" applyNumberFormat="1" applyFont="1" applyFill="1" applyBorder="1"/>
    <xf numFmtId="0" fontId="3" fillId="0" borderId="12" xfId="0" applyFont="1" applyFill="1" applyBorder="1"/>
    <xf numFmtId="0" fontId="2" fillId="5" borderId="0" xfId="0" applyFont="1" applyFill="1"/>
    <xf numFmtId="0" fontId="1" fillId="6" borderId="0" xfId="0" applyFont="1" applyFill="1"/>
    <xf numFmtId="3" fontId="1" fillId="6" borderId="0" xfId="0" applyNumberFormat="1" applyFont="1" applyFill="1"/>
    <xf numFmtId="0" fontId="8" fillId="6" borderId="7" xfId="0" applyFont="1" applyFill="1" applyBorder="1"/>
    <xf numFmtId="0" fontId="8" fillId="6" borderId="8" xfId="0" applyFont="1" applyFill="1" applyBorder="1"/>
    <xf numFmtId="3" fontId="8" fillId="6" borderId="8" xfId="0" applyNumberFormat="1" applyFont="1" applyFill="1" applyBorder="1"/>
    <xf numFmtId="1" fontId="8" fillId="6" borderId="8" xfId="0" applyNumberFormat="1" applyFont="1" applyFill="1" applyBorder="1"/>
    <xf numFmtId="0" fontId="8" fillId="6" borderId="9" xfId="0" applyFont="1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numFmt numFmtId="1" formatCode="0"/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numFmt numFmtId="3" formatCode="#,##0"/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family val="2"/>
        <scheme val="minor"/>
      </font>
      <fill>
        <patternFill patternType="none"/>
      </fill>
      <border diagonalUp="0" diagonalDown="0">
        <left/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Report!$B$12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Report!$A$13:$A$18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Not Provided</c:v>
                </c:pt>
                <c:pt idx="5">
                  <c:v>Sales</c:v>
                </c:pt>
              </c:strCache>
            </c:strRef>
          </c:cat>
          <c:val>
            <c:numRef>
              <c:f>Report!$B$13:$B$18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C-41CE-81A8-607DADB4C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918655"/>
        <c:axId val="857522191"/>
      </c:barChart>
      <c:catAx>
        <c:axId val="86191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522191"/>
        <c:crosses val="autoZero"/>
        <c:auto val="1"/>
        <c:lblAlgn val="ctr"/>
        <c:lblOffset val="100"/>
        <c:noMultiLvlLbl val="0"/>
      </c:catAx>
      <c:valAx>
        <c:axId val="85752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1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Status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Report!$H$12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Report!$G$13:$G$15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Review</c:v>
                </c:pt>
              </c:strCache>
            </c:strRef>
          </c:cat>
          <c:val>
            <c:numRef>
              <c:f>Report!$H$13:$H$15</c:f>
              <c:numCache>
                <c:formatCode>General</c:formatCode>
                <c:ptCount val="3"/>
                <c:pt idx="0">
                  <c:v>25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C-4EB9-B619-3231ABFAB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08226-492B-34DA-9EE6-381E0E9B3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6544B1-CF45-8994-B752-D75B94795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703ED-B98C-49F0-B48D-7EB8EEC32F84}" name="EmployeeRoster" displayName="EmployeeRoster" ref="A1:K34" totalsRowShown="0" headerRowDxfId="12" dataDxfId="0" tableBorderDxfId="13">
  <autoFilter ref="A1:K34" xr:uid="{7D5703ED-B98C-49F0-B48D-7EB8EEC32F84}"/>
  <tableColumns count="11">
    <tableColumn id="1" xr3:uid="{9AEAAE9F-FDB5-4692-B8D8-0AA1D2073F72}" name="EmployeeID" dataDxfId="11"/>
    <tableColumn id="2" xr3:uid="{C46EEF22-D88E-4754-A523-449EFB61FA07}" name="Name" dataDxfId="10"/>
    <tableColumn id="3" xr3:uid="{A6EEBDA1-7CA2-4ED8-A8D4-4A621D46160F}" name="Department" dataDxfId="9"/>
    <tableColumn id="4" xr3:uid="{D2867CDF-2F80-416C-85F4-25A69EA962FA}" name="Age" dataDxfId="8"/>
    <tableColumn id="5" xr3:uid="{E1DF0B90-5301-41CB-A528-BC6FF9E14308}" name="City" dataDxfId="7"/>
    <tableColumn id="6" xr3:uid="{74168AFF-448C-4BDC-8692-ADBCB5CF99BF}" name="Salary" dataDxfId="6"/>
    <tableColumn id="7" xr3:uid="{D52780B5-F037-4197-A349-7105072E8B41}" name="Experience" dataDxfId="5"/>
    <tableColumn id="8" xr3:uid="{B85D1E9E-FDD1-447E-873E-278E96DA39A1}" name="Email" dataDxfId="4"/>
    <tableColumn id="9" xr3:uid="{394EAE32-4D82-4E29-BB6F-74DBFF765204}" name="Phone" dataDxfId="3"/>
    <tableColumn id="10" xr3:uid="{945CE7C7-225B-463C-93A4-EAEDDC212756}" name="Status" dataDxfId="2"/>
    <tableColumn id="11" xr3:uid="{58155C1F-4563-41DF-B438-FCDB357040A5}" name="Data Quality Note" dataDxfId="1">
      <calculatedColumnFormula>IF(COUNTIF(A2:J2,"Not Provided")+COUNTIF(A2:J2,"Review")&gt;0,"Needs Source Verification","Complete / Filled")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B7A38DB-4C18-473C-8D93-0D28F945CFDD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3b9eb879-4639-4dc0-bfa7-5bcb8c54dc6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CED5DD-1EC6-4C26-AE0F-2DBE9641A14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d8108a7-a9ad-4d4a-adc2-ed3044c40302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69EEECC8-77F7-4010-A2EA-D7AB2F8BA76D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341d4c80-709d-4ce5-aec9-49d5e01713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3102-8A6F-41D4-B195-4CFAA4CF31D1}">
  <dimension ref="A1:T34"/>
  <sheetViews>
    <sheetView showGridLines="0" zoomScale="75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3" width="15.5546875" bestFit="1" customWidth="1"/>
    <col min="4" max="4" width="8.6640625" bestFit="1" customWidth="1"/>
    <col min="5" max="5" width="12.33203125" bestFit="1" customWidth="1"/>
    <col min="6" max="6" width="10.5546875" bestFit="1" customWidth="1"/>
    <col min="7" max="7" width="14.6640625" bestFit="1" customWidth="1"/>
    <col min="8" max="8" width="18.44140625" bestFit="1" customWidth="1"/>
    <col min="9" max="9" width="12.33203125" bestFit="1" customWidth="1"/>
    <col min="10" max="10" width="10.6640625" bestFit="1" customWidth="1"/>
    <col min="11" max="11" width="22.33203125" bestFit="1" customWidth="1"/>
    <col min="13" max="13" width="24" bestFit="1" customWidth="1"/>
    <col min="14" max="14" width="9.88671875" bestFit="1" customWidth="1"/>
    <col min="16" max="16" width="11" bestFit="1" customWidth="1"/>
    <col min="17" max="17" width="11.109375" bestFit="1" customWidth="1"/>
    <col min="18" max="18" width="10.88671875" bestFit="1" customWidth="1"/>
    <col min="19" max="19" width="11.77734375" bestFit="1" customWidth="1"/>
    <col min="20" max="20" width="29.10937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101</v>
      </c>
      <c r="M1" s="5" t="s">
        <v>92</v>
      </c>
      <c r="N1" s="6"/>
      <c r="P1" s="12" t="s">
        <v>102</v>
      </c>
      <c r="Q1" s="12" t="s">
        <v>0</v>
      </c>
      <c r="R1" s="12" t="s">
        <v>103</v>
      </c>
      <c r="S1" s="12" t="s">
        <v>104</v>
      </c>
      <c r="T1" s="12" t="s">
        <v>105</v>
      </c>
    </row>
    <row r="2" spans="1:20" x14ac:dyDescent="0.3">
      <c r="A2" s="20">
        <v>1001</v>
      </c>
      <c r="B2" s="21" t="s">
        <v>10</v>
      </c>
      <c r="C2" s="21" t="s">
        <v>11</v>
      </c>
      <c r="D2" s="21">
        <v>28</v>
      </c>
      <c r="E2" s="21" t="s">
        <v>12</v>
      </c>
      <c r="F2" s="22">
        <v>45000</v>
      </c>
      <c r="G2" s="21">
        <v>3</v>
      </c>
      <c r="H2" s="21" t="s">
        <v>13</v>
      </c>
      <c r="I2" s="23">
        <v>9876543210</v>
      </c>
      <c r="J2" s="21" t="s">
        <v>14</v>
      </c>
      <c r="K2" s="24" t="str">
        <f>IF(COUNTIF(A2:J2,"Not Provided")+COUNTIF(A2:J2,"Review")&gt;0,"Needs Source Verification","Complete / Filled")</f>
        <v>Complete / Filled</v>
      </c>
      <c r="M2" s="9" t="s">
        <v>93</v>
      </c>
      <c r="N2" s="7">
        <f>COUNTA(A2:A34)</f>
        <v>33</v>
      </c>
      <c r="P2">
        <v>4</v>
      </c>
      <c r="Q2">
        <v>1003</v>
      </c>
      <c r="R2" t="s">
        <v>3</v>
      </c>
      <c r="S2">
        <v>31</v>
      </c>
      <c r="T2" t="s">
        <v>106</v>
      </c>
    </row>
    <row r="3" spans="1:20" x14ac:dyDescent="0.3">
      <c r="A3" s="25">
        <v>1002</v>
      </c>
      <c r="B3" s="26" t="s">
        <v>15</v>
      </c>
      <c r="C3" s="26" t="s">
        <v>16</v>
      </c>
      <c r="D3" s="26">
        <v>31</v>
      </c>
      <c r="E3" s="26" t="s">
        <v>17</v>
      </c>
      <c r="F3" s="27">
        <v>56000</v>
      </c>
      <c r="G3" s="26">
        <v>6</v>
      </c>
      <c r="H3" s="26" t="s">
        <v>18</v>
      </c>
      <c r="I3" s="28">
        <v>9876543211</v>
      </c>
      <c r="J3" s="26" t="s">
        <v>14</v>
      </c>
      <c r="K3" s="29" t="str">
        <f>IF(COUNTIF(A3:J3,"Not Provided")+COUNTIF(A3:J3,"Review")&gt;0,"Needs Source Verification","Complete / Filled")</f>
        <v>Complete / Filled</v>
      </c>
      <c r="M3" s="9" t="s">
        <v>94</v>
      </c>
      <c r="N3" s="7">
        <f>COUNTIF(J2:J34,"Active")</f>
        <v>25</v>
      </c>
      <c r="P3">
        <v>4</v>
      </c>
      <c r="Q3">
        <v>1003</v>
      </c>
      <c r="R3" t="s">
        <v>8</v>
      </c>
      <c r="S3" t="s">
        <v>99</v>
      </c>
      <c r="T3" t="s">
        <v>107</v>
      </c>
    </row>
    <row r="4" spans="1:20" x14ac:dyDescent="0.3">
      <c r="A4" s="25">
        <v>1003</v>
      </c>
      <c r="B4" s="26" t="s">
        <v>19</v>
      </c>
      <c r="C4" s="26" t="s">
        <v>20</v>
      </c>
      <c r="D4" s="30">
        <v>31</v>
      </c>
      <c r="E4" s="26" t="s">
        <v>21</v>
      </c>
      <c r="F4" s="27">
        <v>65000</v>
      </c>
      <c r="G4" s="26">
        <v>5</v>
      </c>
      <c r="H4" s="26" t="s">
        <v>22</v>
      </c>
      <c r="I4" s="31" t="s">
        <v>99</v>
      </c>
      <c r="J4" s="26" t="s">
        <v>14</v>
      </c>
      <c r="K4" s="29" t="str">
        <f>IF(COUNTIF(A4:J4,"Not Provided")+COUNTIF(A4:J4,"Review")&gt;0,"Needs Source Verification","Complete / Filled")</f>
        <v>Needs Source Verification</v>
      </c>
      <c r="M4" s="9" t="s">
        <v>95</v>
      </c>
      <c r="N4" s="7">
        <f>COUNTIF(J2:J34,"Inactive")</f>
        <v>6</v>
      </c>
      <c r="P4">
        <v>5</v>
      </c>
      <c r="Q4">
        <v>1004</v>
      </c>
      <c r="R4" t="s">
        <v>5</v>
      </c>
      <c r="S4">
        <v>52000</v>
      </c>
      <c r="T4" t="s">
        <v>106</v>
      </c>
    </row>
    <row r="5" spans="1:20" x14ac:dyDescent="0.3">
      <c r="A5" s="25">
        <v>1004</v>
      </c>
      <c r="B5" s="26" t="s">
        <v>23</v>
      </c>
      <c r="C5" s="26" t="s">
        <v>24</v>
      </c>
      <c r="D5" s="26">
        <v>29</v>
      </c>
      <c r="E5" s="26" t="s">
        <v>12</v>
      </c>
      <c r="F5" s="32">
        <v>52000</v>
      </c>
      <c r="G5" s="26">
        <v>4</v>
      </c>
      <c r="H5" s="26" t="s">
        <v>25</v>
      </c>
      <c r="I5" s="28">
        <v>9876543213</v>
      </c>
      <c r="J5" s="26" t="s">
        <v>26</v>
      </c>
      <c r="K5" s="29" t="str">
        <f>IF(COUNTIF(A5:J5,"Not Provided")+COUNTIF(A5:J5,"Review")&gt;0,"Needs Source Verification","Complete / Filled")</f>
        <v>Complete / Filled</v>
      </c>
      <c r="M5" s="9" t="s">
        <v>108</v>
      </c>
      <c r="N5" s="7">
        <f>COUNTIF(K2:K34,"Needs Source Verification")</f>
        <v>12</v>
      </c>
      <c r="P5">
        <v>6</v>
      </c>
      <c r="Q5">
        <v>1005</v>
      </c>
      <c r="R5" t="s">
        <v>7</v>
      </c>
      <c r="S5" t="s">
        <v>99</v>
      </c>
      <c r="T5" t="s">
        <v>107</v>
      </c>
    </row>
    <row r="6" spans="1:20" x14ac:dyDescent="0.3">
      <c r="A6" s="25">
        <v>1005</v>
      </c>
      <c r="B6" s="26" t="s">
        <v>27</v>
      </c>
      <c r="C6" s="26" t="s">
        <v>28</v>
      </c>
      <c r="D6" s="26">
        <v>35</v>
      </c>
      <c r="E6" s="26" t="s">
        <v>29</v>
      </c>
      <c r="F6" s="27">
        <v>58000</v>
      </c>
      <c r="G6" s="26">
        <v>8</v>
      </c>
      <c r="H6" s="33" t="s">
        <v>99</v>
      </c>
      <c r="I6" s="28">
        <v>9876543214</v>
      </c>
      <c r="J6" s="26" t="s">
        <v>14</v>
      </c>
      <c r="K6" s="29" t="str">
        <f>IF(COUNTIF(A6:J6,"Not Provided")+COUNTIF(A6:J6,"Review")&gt;0,"Needs Source Verification","Complete / Filled")</f>
        <v>Needs Source Verification</v>
      </c>
      <c r="M6" s="9" t="s">
        <v>96</v>
      </c>
      <c r="N6" s="7" cm="1">
        <f t="array" ref="N6">SUMPRODUCT(--(COUNTIF(A2:A34,A2:A34)&gt;1))</f>
        <v>0</v>
      </c>
      <c r="P6">
        <v>8</v>
      </c>
      <c r="Q6">
        <v>1008</v>
      </c>
      <c r="R6" t="s">
        <v>1</v>
      </c>
      <c r="S6" t="s">
        <v>99</v>
      </c>
      <c r="T6" t="s">
        <v>107</v>
      </c>
    </row>
    <row r="7" spans="1:20" x14ac:dyDescent="0.3">
      <c r="A7" s="25">
        <v>1007</v>
      </c>
      <c r="B7" s="26" t="s">
        <v>30</v>
      </c>
      <c r="C7" s="26" t="s">
        <v>20</v>
      </c>
      <c r="D7" s="26">
        <v>30</v>
      </c>
      <c r="E7" s="26" t="s">
        <v>31</v>
      </c>
      <c r="F7" s="27">
        <v>72000</v>
      </c>
      <c r="G7" s="26">
        <v>7</v>
      </c>
      <c r="H7" s="26" t="s">
        <v>32</v>
      </c>
      <c r="I7" s="28">
        <v>9876543216</v>
      </c>
      <c r="J7" s="26" t="s">
        <v>14</v>
      </c>
      <c r="K7" s="29" t="str">
        <f>IF(COUNTIF(A7:J7,"Not Provided")+COUNTIF(A7:J7,"Review")&gt;0,"Needs Source Verification","Complete / Filled")</f>
        <v>Complete / Filled</v>
      </c>
      <c r="M7" s="9" t="s">
        <v>97</v>
      </c>
      <c r="N7" s="11">
        <f>AVERAGE(F2:F34)</f>
        <v>60575.757575757576</v>
      </c>
      <c r="P7">
        <v>9</v>
      </c>
      <c r="Q7">
        <v>1010</v>
      </c>
      <c r="R7" t="s">
        <v>4</v>
      </c>
      <c r="S7" t="s">
        <v>99</v>
      </c>
      <c r="T7" t="s">
        <v>107</v>
      </c>
    </row>
    <row r="8" spans="1:20" x14ac:dyDescent="0.3">
      <c r="A8" s="25">
        <v>1008</v>
      </c>
      <c r="B8" s="33" t="s">
        <v>99</v>
      </c>
      <c r="C8" s="26" t="s">
        <v>16</v>
      </c>
      <c r="D8" s="26">
        <v>27</v>
      </c>
      <c r="E8" s="26" t="s">
        <v>33</v>
      </c>
      <c r="F8" s="27">
        <v>49000</v>
      </c>
      <c r="G8" s="26">
        <v>2</v>
      </c>
      <c r="H8" s="26" t="s">
        <v>34</v>
      </c>
      <c r="I8" s="28">
        <v>9876543217</v>
      </c>
      <c r="J8" s="26" t="s">
        <v>14</v>
      </c>
      <c r="K8" s="29" t="str">
        <f>IF(COUNTIF(A8:J8,"Not Provided")+COUNTIF(A8:J8,"Review")&gt;0,"Needs Source Verification","Complete / Filled")</f>
        <v>Needs Source Verification</v>
      </c>
      <c r="M8" s="10" t="s">
        <v>98</v>
      </c>
      <c r="N8" s="8">
        <v>46219</v>
      </c>
      <c r="P8">
        <v>10</v>
      </c>
      <c r="Q8">
        <v>1011</v>
      </c>
      <c r="R8" t="s">
        <v>8</v>
      </c>
      <c r="S8" t="s">
        <v>99</v>
      </c>
      <c r="T8" t="s">
        <v>107</v>
      </c>
    </row>
    <row r="9" spans="1:20" x14ac:dyDescent="0.3">
      <c r="A9" s="25">
        <v>1010</v>
      </c>
      <c r="B9" s="26" t="s">
        <v>35</v>
      </c>
      <c r="C9" s="26" t="s">
        <v>11</v>
      </c>
      <c r="D9" s="26">
        <v>33</v>
      </c>
      <c r="E9" s="33" t="s">
        <v>99</v>
      </c>
      <c r="F9" s="27">
        <v>51000</v>
      </c>
      <c r="G9" s="26">
        <v>9</v>
      </c>
      <c r="H9" s="26" t="s">
        <v>36</v>
      </c>
      <c r="I9" s="28">
        <v>9876543219</v>
      </c>
      <c r="J9" s="26" t="s">
        <v>26</v>
      </c>
      <c r="K9" s="29" t="str">
        <f>IF(COUNTIF(A9:J9,"Not Provided")+COUNTIF(A9:J9,"Review")&gt;0,"Needs Source Verification","Complete / Filled")</f>
        <v>Needs Source Verification</v>
      </c>
      <c r="P9">
        <v>12</v>
      </c>
      <c r="Q9">
        <v>1014</v>
      </c>
      <c r="R9" t="s">
        <v>9</v>
      </c>
      <c r="S9" t="s">
        <v>100</v>
      </c>
      <c r="T9" t="s">
        <v>107</v>
      </c>
    </row>
    <row r="10" spans="1:20" x14ac:dyDescent="0.3">
      <c r="A10" s="25">
        <v>1011</v>
      </c>
      <c r="B10" s="26" t="s">
        <v>37</v>
      </c>
      <c r="C10" s="26" t="s">
        <v>24</v>
      </c>
      <c r="D10" s="26">
        <v>26</v>
      </c>
      <c r="E10" s="26" t="s">
        <v>38</v>
      </c>
      <c r="F10" s="27">
        <v>47000</v>
      </c>
      <c r="G10" s="26">
        <v>2</v>
      </c>
      <c r="H10" s="26" t="s">
        <v>39</v>
      </c>
      <c r="I10" s="31" t="s">
        <v>99</v>
      </c>
      <c r="J10" s="26" t="s">
        <v>14</v>
      </c>
      <c r="K10" s="29" t="str">
        <f>IF(COUNTIF(A10:J10,"Not Provided")+COUNTIF(A10:J10,"Review")&gt;0,"Needs Source Verification","Complete / Filled")</f>
        <v>Needs Source Verification</v>
      </c>
      <c r="P10">
        <v>13</v>
      </c>
      <c r="Q10">
        <v>1015</v>
      </c>
      <c r="R10" t="s">
        <v>6</v>
      </c>
      <c r="S10">
        <v>6</v>
      </c>
      <c r="T10" t="s">
        <v>106</v>
      </c>
    </row>
    <row r="11" spans="1:20" x14ac:dyDescent="0.3">
      <c r="A11" s="25">
        <v>1012</v>
      </c>
      <c r="B11" s="26" t="s">
        <v>40</v>
      </c>
      <c r="C11" s="26" t="s">
        <v>28</v>
      </c>
      <c r="D11" s="26">
        <v>39</v>
      </c>
      <c r="E11" s="26" t="s">
        <v>41</v>
      </c>
      <c r="F11" s="27">
        <v>69000</v>
      </c>
      <c r="G11" s="26">
        <v>12</v>
      </c>
      <c r="H11" s="26" t="s">
        <v>42</v>
      </c>
      <c r="I11" s="28">
        <v>9876543221</v>
      </c>
      <c r="J11" s="26" t="s">
        <v>14</v>
      </c>
      <c r="K11" s="29" t="str">
        <f>IF(COUNTIF(A11:J11,"Not Provided")+COUNTIF(A11:J11,"Review")&gt;0,"Needs Source Verification","Complete / Filled")</f>
        <v>Complete / Filled</v>
      </c>
      <c r="P11">
        <v>14</v>
      </c>
      <c r="Q11">
        <v>1016</v>
      </c>
      <c r="R11" t="s">
        <v>2</v>
      </c>
      <c r="S11" t="s">
        <v>99</v>
      </c>
      <c r="T11" t="s">
        <v>107</v>
      </c>
    </row>
    <row r="12" spans="1:20" x14ac:dyDescent="0.3">
      <c r="A12" s="25">
        <v>1014</v>
      </c>
      <c r="B12" s="26" t="s">
        <v>43</v>
      </c>
      <c r="C12" s="26" t="s">
        <v>20</v>
      </c>
      <c r="D12" s="26">
        <v>32</v>
      </c>
      <c r="E12" s="26" t="s">
        <v>12</v>
      </c>
      <c r="F12" s="27">
        <v>78000</v>
      </c>
      <c r="G12" s="26">
        <v>10</v>
      </c>
      <c r="H12" s="26" t="s">
        <v>44</v>
      </c>
      <c r="I12" s="28">
        <v>9876543223</v>
      </c>
      <c r="J12" s="33" t="s">
        <v>100</v>
      </c>
      <c r="K12" s="29" t="str">
        <f>IF(COUNTIF(A12:J12,"Not Provided")+COUNTIF(A12:J12,"Review")&gt;0,"Needs Source Verification","Complete / Filled")</f>
        <v>Needs Source Verification</v>
      </c>
      <c r="P12">
        <v>16</v>
      </c>
      <c r="Q12">
        <v>1019</v>
      </c>
      <c r="R12" t="s">
        <v>8</v>
      </c>
      <c r="S12" t="s">
        <v>99</v>
      </c>
      <c r="T12" t="s">
        <v>107</v>
      </c>
    </row>
    <row r="13" spans="1:20" x14ac:dyDescent="0.3">
      <c r="A13" s="25">
        <v>1015</v>
      </c>
      <c r="B13" s="26" t="s">
        <v>45</v>
      </c>
      <c r="C13" s="26" t="s">
        <v>16</v>
      </c>
      <c r="D13" s="26">
        <v>28</v>
      </c>
      <c r="E13" s="26" t="s">
        <v>17</v>
      </c>
      <c r="F13" s="27">
        <v>53000</v>
      </c>
      <c r="G13" s="30">
        <v>6</v>
      </c>
      <c r="H13" s="26" t="s">
        <v>46</v>
      </c>
      <c r="I13" s="28">
        <v>9876543224</v>
      </c>
      <c r="J13" s="26" t="s">
        <v>14</v>
      </c>
      <c r="K13" s="29" t="str">
        <f>IF(COUNTIF(A13:J13,"Not Provided")+COUNTIF(A13:J13,"Review")&gt;0,"Needs Source Verification","Complete / Filled")</f>
        <v>Complete / Filled</v>
      </c>
      <c r="P13">
        <v>19</v>
      </c>
      <c r="Q13">
        <v>1023</v>
      </c>
      <c r="R13" t="s">
        <v>3</v>
      </c>
      <c r="S13">
        <v>31</v>
      </c>
      <c r="T13" t="s">
        <v>106</v>
      </c>
    </row>
    <row r="14" spans="1:20" x14ac:dyDescent="0.3">
      <c r="A14" s="25">
        <v>1016</v>
      </c>
      <c r="B14" s="26" t="s">
        <v>47</v>
      </c>
      <c r="C14" s="33" t="s">
        <v>99</v>
      </c>
      <c r="D14" s="26">
        <v>36</v>
      </c>
      <c r="E14" s="26" t="s">
        <v>48</v>
      </c>
      <c r="F14" s="27">
        <v>61000</v>
      </c>
      <c r="G14" s="26">
        <v>8</v>
      </c>
      <c r="H14" s="26" t="s">
        <v>49</v>
      </c>
      <c r="I14" s="28">
        <v>9876543225</v>
      </c>
      <c r="J14" s="26" t="s">
        <v>26</v>
      </c>
      <c r="K14" s="29" t="str">
        <f>IF(COUNTIF(A14:J14,"Not Provided")+COUNTIF(A14:J14,"Review")&gt;0,"Needs Source Verification","Complete / Filled")</f>
        <v>Needs Source Verification</v>
      </c>
      <c r="P14">
        <v>21</v>
      </c>
      <c r="Q14">
        <v>1026</v>
      </c>
      <c r="R14" t="s">
        <v>4</v>
      </c>
      <c r="S14" t="s">
        <v>99</v>
      </c>
      <c r="T14" t="s">
        <v>107</v>
      </c>
    </row>
    <row r="15" spans="1:20" x14ac:dyDescent="0.3">
      <c r="A15" s="25">
        <v>1018</v>
      </c>
      <c r="B15" s="26" t="s">
        <v>50</v>
      </c>
      <c r="C15" s="26" t="s">
        <v>24</v>
      </c>
      <c r="D15" s="26">
        <v>30</v>
      </c>
      <c r="E15" s="26" t="s">
        <v>12</v>
      </c>
      <c r="F15" s="27">
        <v>55000</v>
      </c>
      <c r="G15" s="26">
        <v>6</v>
      </c>
      <c r="H15" s="26" t="s">
        <v>51</v>
      </c>
      <c r="I15" s="28">
        <v>9876543227</v>
      </c>
      <c r="J15" s="26" t="s">
        <v>14</v>
      </c>
      <c r="K15" s="29" t="str">
        <f>IF(COUNTIF(A15:J15,"Not Provided")+COUNTIF(A15:J15,"Review")&gt;0,"Needs Source Verification","Complete / Filled")</f>
        <v>Complete / Filled</v>
      </c>
      <c r="P15">
        <v>22</v>
      </c>
      <c r="Q15">
        <v>1028</v>
      </c>
      <c r="R15" t="s">
        <v>6</v>
      </c>
      <c r="S15">
        <v>7</v>
      </c>
      <c r="T15" t="s">
        <v>106</v>
      </c>
    </row>
    <row r="16" spans="1:20" x14ac:dyDescent="0.3">
      <c r="A16" s="25">
        <v>1019</v>
      </c>
      <c r="B16" s="26" t="s">
        <v>52</v>
      </c>
      <c r="C16" s="26" t="s">
        <v>28</v>
      </c>
      <c r="D16" s="26">
        <v>34</v>
      </c>
      <c r="E16" s="26" t="s">
        <v>29</v>
      </c>
      <c r="F16" s="27">
        <v>62000</v>
      </c>
      <c r="G16" s="26">
        <v>9</v>
      </c>
      <c r="H16" s="26" t="s">
        <v>53</v>
      </c>
      <c r="I16" s="31" t="s">
        <v>99</v>
      </c>
      <c r="J16" s="26" t="s">
        <v>14</v>
      </c>
      <c r="K16" s="29" t="str">
        <f>IF(COUNTIF(A16:J16,"Not Provided")+COUNTIF(A16:J16,"Review")&gt;0,"Needs Source Verification","Complete / Filled")</f>
        <v>Needs Source Verification</v>
      </c>
      <c r="P16">
        <v>25</v>
      </c>
      <c r="Q16">
        <v>1033</v>
      </c>
      <c r="R16" t="s">
        <v>5</v>
      </c>
      <c r="S16">
        <v>64000</v>
      </c>
      <c r="T16" t="s">
        <v>106</v>
      </c>
    </row>
    <row r="17" spans="1:20" x14ac:dyDescent="0.3">
      <c r="A17" s="25">
        <v>1020</v>
      </c>
      <c r="B17" s="26" t="s">
        <v>54</v>
      </c>
      <c r="C17" s="26" t="s">
        <v>11</v>
      </c>
      <c r="D17" s="26">
        <v>29</v>
      </c>
      <c r="E17" s="26" t="s">
        <v>12</v>
      </c>
      <c r="F17" s="27">
        <v>46000</v>
      </c>
      <c r="G17" s="26">
        <v>3</v>
      </c>
      <c r="H17" s="26" t="s">
        <v>55</v>
      </c>
      <c r="I17" s="28">
        <v>9876543229</v>
      </c>
      <c r="J17" s="26" t="s">
        <v>14</v>
      </c>
      <c r="K17" s="29" t="str">
        <f>IF(COUNTIF(A17:J17,"Not Provided")+COUNTIF(A17:J17,"Review")&gt;0,"Needs Source Verification","Complete / Filled")</f>
        <v>Complete / Filled</v>
      </c>
      <c r="P17">
        <v>26</v>
      </c>
      <c r="Q17">
        <v>1035</v>
      </c>
      <c r="R17" t="s">
        <v>7</v>
      </c>
      <c r="S17" t="s">
        <v>99</v>
      </c>
      <c r="T17" t="s">
        <v>107</v>
      </c>
    </row>
    <row r="18" spans="1:20" x14ac:dyDescent="0.3">
      <c r="A18" s="25">
        <v>1022</v>
      </c>
      <c r="B18" s="26" t="s">
        <v>56</v>
      </c>
      <c r="C18" s="26" t="s">
        <v>20</v>
      </c>
      <c r="D18" s="26">
        <v>31</v>
      </c>
      <c r="E18" s="26" t="s">
        <v>21</v>
      </c>
      <c r="F18" s="27">
        <v>81000</v>
      </c>
      <c r="G18" s="26">
        <v>7</v>
      </c>
      <c r="H18" s="26" t="s">
        <v>57</v>
      </c>
      <c r="I18" s="28">
        <v>9876543231</v>
      </c>
      <c r="J18" s="26" t="s">
        <v>14</v>
      </c>
      <c r="K18" s="29" t="str">
        <f>IF(COUNTIF(A18:J18,"Not Provided")+COUNTIF(A18:J18,"Review")&gt;0,"Needs Source Verification","Complete / Filled")</f>
        <v>Complete / Filled</v>
      </c>
      <c r="P18">
        <v>28</v>
      </c>
      <c r="Q18">
        <v>1038</v>
      </c>
      <c r="R18" t="s">
        <v>8</v>
      </c>
      <c r="S18" t="s">
        <v>99</v>
      </c>
      <c r="T18" t="s">
        <v>107</v>
      </c>
    </row>
    <row r="19" spans="1:20" x14ac:dyDescent="0.3">
      <c r="A19" s="25">
        <v>1023</v>
      </c>
      <c r="B19" s="26" t="s">
        <v>58</v>
      </c>
      <c r="C19" s="26" t="s">
        <v>16</v>
      </c>
      <c r="D19" s="30">
        <v>31</v>
      </c>
      <c r="E19" s="26" t="s">
        <v>59</v>
      </c>
      <c r="F19" s="27">
        <v>57000</v>
      </c>
      <c r="G19" s="26">
        <v>5</v>
      </c>
      <c r="H19" s="26" t="s">
        <v>60</v>
      </c>
      <c r="I19" s="28">
        <v>9876543232</v>
      </c>
      <c r="J19" s="26" t="s">
        <v>26</v>
      </c>
      <c r="K19" s="29" t="str">
        <f>IF(COUNTIF(A19:J19,"Not Provided")+COUNTIF(A19:J19,"Review")&gt;0,"Needs Source Verification","Complete / Filled")</f>
        <v>Complete / Filled</v>
      </c>
      <c r="P19">
        <v>29</v>
      </c>
      <c r="Q19">
        <v>1040</v>
      </c>
      <c r="R19" t="s">
        <v>9</v>
      </c>
      <c r="S19" t="s">
        <v>100</v>
      </c>
      <c r="T19" t="s">
        <v>107</v>
      </c>
    </row>
    <row r="20" spans="1:20" x14ac:dyDescent="0.3">
      <c r="A20" s="25">
        <v>1025</v>
      </c>
      <c r="B20" s="26" t="s">
        <v>61</v>
      </c>
      <c r="C20" s="26" t="s">
        <v>28</v>
      </c>
      <c r="D20" s="26">
        <v>38</v>
      </c>
      <c r="E20" s="26" t="s">
        <v>62</v>
      </c>
      <c r="F20" s="27">
        <v>67000</v>
      </c>
      <c r="G20" s="26">
        <v>11</v>
      </c>
      <c r="H20" s="26" t="s">
        <v>63</v>
      </c>
      <c r="I20" s="28">
        <v>9876543234</v>
      </c>
      <c r="J20" s="26" t="s">
        <v>14</v>
      </c>
      <c r="K20" s="29" t="str">
        <f>IF(COUNTIF(A20:J20,"Not Provided")+COUNTIF(A20:J20,"Review")&gt;0,"Needs Source Verification","Complete / Filled")</f>
        <v>Complete / Filled</v>
      </c>
    </row>
    <row r="21" spans="1:20" x14ac:dyDescent="0.3">
      <c r="A21" s="25">
        <v>1026</v>
      </c>
      <c r="B21" s="26" t="s">
        <v>64</v>
      </c>
      <c r="C21" s="26" t="s">
        <v>24</v>
      </c>
      <c r="D21" s="26">
        <v>27</v>
      </c>
      <c r="E21" s="33" t="s">
        <v>99</v>
      </c>
      <c r="F21" s="27">
        <v>50000</v>
      </c>
      <c r="G21" s="26">
        <v>3</v>
      </c>
      <c r="H21" s="26" t="s">
        <v>65</v>
      </c>
      <c r="I21" s="28">
        <v>9876543235</v>
      </c>
      <c r="J21" s="26" t="s">
        <v>14</v>
      </c>
      <c r="K21" s="29" t="str">
        <f>IF(COUNTIF(A21:J21,"Not Provided")+COUNTIF(A21:J21,"Review")&gt;0,"Needs Source Verification","Complete / Filled")</f>
        <v>Needs Source Verification</v>
      </c>
    </row>
    <row r="22" spans="1:20" x14ac:dyDescent="0.3">
      <c r="A22" s="25">
        <v>1028</v>
      </c>
      <c r="B22" s="26" t="s">
        <v>66</v>
      </c>
      <c r="C22" s="26" t="s">
        <v>20</v>
      </c>
      <c r="D22" s="26">
        <v>29</v>
      </c>
      <c r="E22" s="26" t="s">
        <v>12</v>
      </c>
      <c r="F22" s="27">
        <v>74000</v>
      </c>
      <c r="G22" s="30">
        <v>7</v>
      </c>
      <c r="H22" s="26" t="s">
        <v>67</v>
      </c>
      <c r="I22" s="28">
        <v>9876543237</v>
      </c>
      <c r="J22" s="26" t="s">
        <v>14</v>
      </c>
      <c r="K22" s="29" t="str">
        <f>IF(COUNTIF(A22:J22,"Not Provided")+COUNTIF(A22:J22,"Review")&gt;0,"Needs Source Verification","Complete / Filled")</f>
        <v>Complete / Filled</v>
      </c>
    </row>
    <row r="23" spans="1:20" x14ac:dyDescent="0.3">
      <c r="A23" s="42">
        <v>1030</v>
      </c>
      <c r="B23" s="43" t="s">
        <v>68</v>
      </c>
      <c r="C23" s="43" t="s">
        <v>16</v>
      </c>
      <c r="D23" s="43">
        <v>41</v>
      </c>
      <c r="E23" s="43" t="s">
        <v>17</v>
      </c>
      <c r="F23" s="44">
        <v>85000</v>
      </c>
      <c r="G23" s="43">
        <v>15</v>
      </c>
      <c r="H23" s="43" t="s">
        <v>69</v>
      </c>
      <c r="I23" s="45">
        <v>9876543239</v>
      </c>
      <c r="J23" s="43" t="s">
        <v>14</v>
      </c>
      <c r="K23" s="46" t="s">
        <v>131</v>
      </c>
    </row>
    <row r="24" spans="1:20" x14ac:dyDescent="0.3">
      <c r="A24" s="25">
        <v>1031</v>
      </c>
      <c r="B24" s="26" t="s">
        <v>70</v>
      </c>
      <c r="C24" s="26" t="s">
        <v>11</v>
      </c>
      <c r="D24" s="26">
        <v>26</v>
      </c>
      <c r="E24" s="26" t="s">
        <v>38</v>
      </c>
      <c r="F24" s="27">
        <v>43000</v>
      </c>
      <c r="G24" s="26">
        <v>2</v>
      </c>
      <c r="H24" s="26" t="s">
        <v>71</v>
      </c>
      <c r="I24" s="28">
        <v>9876543240</v>
      </c>
      <c r="J24" s="26" t="s">
        <v>26</v>
      </c>
      <c r="K24" s="29" t="str">
        <f>IF(COUNTIF(A24:J24,"Not Provided")+COUNTIF(A24:J24,"Review")&gt;0,"Needs Source Verification","Complete / Filled")</f>
        <v>Complete / Filled</v>
      </c>
    </row>
    <row r="25" spans="1:20" x14ac:dyDescent="0.3">
      <c r="A25" s="25">
        <v>1033</v>
      </c>
      <c r="B25" s="26" t="s">
        <v>72</v>
      </c>
      <c r="C25" s="26" t="s">
        <v>28</v>
      </c>
      <c r="D25" s="26">
        <v>37</v>
      </c>
      <c r="E25" s="26" t="s">
        <v>41</v>
      </c>
      <c r="F25" s="32">
        <v>64000</v>
      </c>
      <c r="G25" s="26">
        <v>10</v>
      </c>
      <c r="H25" s="26" t="s">
        <v>73</v>
      </c>
      <c r="I25" s="28">
        <v>9876543242</v>
      </c>
      <c r="J25" s="26" t="s">
        <v>14</v>
      </c>
      <c r="K25" s="29" t="str">
        <f>IF(COUNTIF(A25:J25,"Not Provided")+COUNTIF(A25:J25,"Review")&gt;0,"Needs Source Verification","Complete / Filled")</f>
        <v>Complete / Filled</v>
      </c>
    </row>
    <row r="26" spans="1:20" x14ac:dyDescent="0.3">
      <c r="A26" s="25">
        <v>1035</v>
      </c>
      <c r="B26" s="26" t="s">
        <v>74</v>
      </c>
      <c r="C26" s="26" t="s">
        <v>24</v>
      </c>
      <c r="D26" s="26">
        <v>31</v>
      </c>
      <c r="E26" s="26" t="s">
        <v>12</v>
      </c>
      <c r="F26" s="27">
        <v>60000</v>
      </c>
      <c r="G26" s="26">
        <v>7</v>
      </c>
      <c r="H26" s="33" t="s">
        <v>99</v>
      </c>
      <c r="I26" s="28">
        <v>9876543244</v>
      </c>
      <c r="J26" s="26" t="s">
        <v>14</v>
      </c>
      <c r="K26" s="29" t="str">
        <f>IF(COUNTIF(A26:J26,"Not Provided")+COUNTIF(A26:J26,"Review")&gt;0,"Needs Source Verification","Complete / Filled")</f>
        <v>Needs Source Verification</v>
      </c>
    </row>
    <row r="27" spans="1:20" x14ac:dyDescent="0.3">
      <c r="A27" s="25">
        <v>1036</v>
      </c>
      <c r="B27" s="26" t="s">
        <v>75</v>
      </c>
      <c r="C27" s="26" t="s">
        <v>20</v>
      </c>
      <c r="D27" s="26">
        <v>33</v>
      </c>
      <c r="E27" s="26" t="s">
        <v>48</v>
      </c>
      <c r="F27" s="27">
        <v>79000</v>
      </c>
      <c r="G27" s="26">
        <v>9</v>
      </c>
      <c r="H27" s="26" t="s">
        <v>76</v>
      </c>
      <c r="I27" s="28">
        <v>9876543245</v>
      </c>
      <c r="J27" s="26" t="s">
        <v>14</v>
      </c>
      <c r="K27" s="29" t="str">
        <f>IF(COUNTIF(A27:J27,"Not Provided")+COUNTIF(A27:J27,"Review")&gt;0,"Needs Source Verification","Complete / Filled")</f>
        <v>Complete / Filled</v>
      </c>
    </row>
    <row r="28" spans="1:20" x14ac:dyDescent="0.3">
      <c r="A28" s="25">
        <v>1038</v>
      </c>
      <c r="B28" s="26" t="s">
        <v>77</v>
      </c>
      <c r="C28" s="26" t="s">
        <v>16</v>
      </c>
      <c r="D28" s="26">
        <v>30</v>
      </c>
      <c r="E28" s="26" t="s">
        <v>33</v>
      </c>
      <c r="F28" s="27">
        <v>56000</v>
      </c>
      <c r="G28" s="26">
        <v>6</v>
      </c>
      <c r="H28" s="26" t="s">
        <v>78</v>
      </c>
      <c r="I28" s="31" t="s">
        <v>99</v>
      </c>
      <c r="J28" s="26" t="s">
        <v>14</v>
      </c>
      <c r="K28" s="29" t="str">
        <f>IF(COUNTIF(A28:J28,"Not Provided")+COUNTIF(A28:J28,"Review")&gt;0,"Needs Source Verification","Complete / Filled")</f>
        <v>Needs Source Verification</v>
      </c>
    </row>
    <row r="29" spans="1:20" x14ac:dyDescent="0.3">
      <c r="A29" s="25">
        <v>1040</v>
      </c>
      <c r="B29" s="26" t="s">
        <v>79</v>
      </c>
      <c r="C29" s="26" t="s">
        <v>11</v>
      </c>
      <c r="D29" s="26">
        <v>35</v>
      </c>
      <c r="E29" s="26" t="s">
        <v>12</v>
      </c>
      <c r="F29" s="27">
        <v>59000</v>
      </c>
      <c r="G29" s="26">
        <v>8</v>
      </c>
      <c r="H29" s="26" t="s">
        <v>80</v>
      </c>
      <c r="I29" s="28">
        <v>9876543249</v>
      </c>
      <c r="J29" s="33" t="s">
        <v>100</v>
      </c>
      <c r="K29" s="29" t="str">
        <f>IF(COUNTIF(A29:J29,"Not Provided")+COUNTIF(A29:J29,"Review")&gt;0,"Needs Source Verification","Complete / Filled")</f>
        <v>Needs Source Verification</v>
      </c>
    </row>
    <row r="30" spans="1:20" x14ac:dyDescent="0.3">
      <c r="A30" s="25">
        <v>1041</v>
      </c>
      <c r="B30" s="26" t="s">
        <v>81</v>
      </c>
      <c r="C30" s="26" t="s">
        <v>24</v>
      </c>
      <c r="D30" s="26">
        <v>28</v>
      </c>
      <c r="E30" s="26" t="s">
        <v>29</v>
      </c>
      <c r="F30" s="27">
        <v>52000</v>
      </c>
      <c r="G30" s="26">
        <v>4</v>
      </c>
      <c r="H30" s="26" t="s">
        <v>82</v>
      </c>
      <c r="I30" s="28">
        <v>9876543250</v>
      </c>
      <c r="J30" s="26" t="s">
        <v>14</v>
      </c>
      <c r="K30" s="29" t="str">
        <f>IF(COUNTIF(A30:J30,"Not Provided")+COUNTIF(A30:J30,"Review")&gt;0,"Needs Source Verification","Complete / Filled")</f>
        <v>Complete / Filled</v>
      </c>
    </row>
    <row r="31" spans="1:20" x14ac:dyDescent="0.3">
      <c r="A31" s="25">
        <v>1043</v>
      </c>
      <c r="B31" s="26" t="s">
        <v>83</v>
      </c>
      <c r="C31" s="26" t="s">
        <v>28</v>
      </c>
      <c r="D31" s="26">
        <v>32</v>
      </c>
      <c r="E31" s="26" t="s">
        <v>84</v>
      </c>
      <c r="F31" s="27">
        <v>64000</v>
      </c>
      <c r="G31" s="26">
        <v>7</v>
      </c>
      <c r="H31" s="26" t="s">
        <v>85</v>
      </c>
      <c r="I31" s="28">
        <v>9876543252</v>
      </c>
      <c r="J31" s="26" t="s">
        <v>26</v>
      </c>
      <c r="K31" s="29" t="str">
        <f>IF(COUNTIF(A31:J31,"Not Provided")+COUNTIF(A31:J31,"Review")&gt;0,"Needs Source Verification","Complete / Filled")</f>
        <v>Complete / Filled</v>
      </c>
    </row>
    <row r="32" spans="1:20" x14ac:dyDescent="0.3">
      <c r="A32" s="25">
        <v>1045</v>
      </c>
      <c r="B32" s="26" t="s">
        <v>86</v>
      </c>
      <c r="C32" s="26" t="s">
        <v>20</v>
      </c>
      <c r="D32" s="26">
        <v>29</v>
      </c>
      <c r="E32" s="26" t="s">
        <v>21</v>
      </c>
      <c r="F32" s="27">
        <v>76000</v>
      </c>
      <c r="G32" s="26">
        <v>5</v>
      </c>
      <c r="H32" s="26" t="s">
        <v>87</v>
      </c>
      <c r="I32" s="28">
        <v>9876543254</v>
      </c>
      <c r="J32" s="26" t="s">
        <v>14</v>
      </c>
      <c r="K32" s="29" t="str">
        <f>IF(COUNTIF(A32:J32,"Not Provided")+COUNTIF(A32:J32,"Review")&gt;0,"Needs Source Verification","Complete / Filled")</f>
        <v>Complete / Filled</v>
      </c>
    </row>
    <row r="33" spans="1:11" x14ac:dyDescent="0.3">
      <c r="A33" s="25">
        <v>1047</v>
      </c>
      <c r="B33" s="26" t="s">
        <v>88</v>
      </c>
      <c r="C33" s="26" t="s">
        <v>16</v>
      </c>
      <c r="D33" s="26">
        <v>36</v>
      </c>
      <c r="E33" s="26" t="s">
        <v>17</v>
      </c>
      <c r="F33" s="27">
        <v>68000</v>
      </c>
      <c r="G33" s="26">
        <v>11</v>
      </c>
      <c r="H33" s="26" t="s">
        <v>89</v>
      </c>
      <c r="I33" s="28">
        <v>9876543256</v>
      </c>
      <c r="J33" s="26" t="s">
        <v>14</v>
      </c>
      <c r="K33" s="29" t="str">
        <f>IF(COUNTIF(A33:J33,"Not Provided")+COUNTIF(A33:J33,"Review")&gt;0,"Needs Source Verification","Complete / Filled")</f>
        <v>Complete / Filled</v>
      </c>
    </row>
    <row r="34" spans="1:11" x14ac:dyDescent="0.3">
      <c r="A34" s="34">
        <v>1050</v>
      </c>
      <c r="B34" s="35" t="s">
        <v>90</v>
      </c>
      <c r="C34" s="35" t="s">
        <v>11</v>
      </c>
      <c r="D34" s="35">
        <v>27</v>
      </c>
      <c r="E34" s="35" t="s">
        <v>12</v>
      </c>
      <c r="F34" s="36">
        <v>45000</v>
      </c>
      <c r="G34" s="35">
        <v>3</v>
      </c>
      <c r="H34" s="35" t="s">
        <v>91</v>
      </c>
      <c r="I34" s="37">
        <v>9876543259</v>
      </c>
      <c r="J34" s="35" t="s">
        <v>14</v>
      </c>
      <c r="K34" s="38" t="str">
        <f>IF(COUNTIF(A34:J34,"Not Provided")+COUNTIF(A34:J34,"Review")&gt;0,"Needs Source Verification","Complete / Filled")</f>
        <v>Complete / Filled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0B82-4215-4A99-BA4D-1C7814F5780C}">
  <dimension ref="A1:H44"/>
  <sheetViews>
    <sheetView showGridLines="0" topLeftCell="D38" zoomScale="95" workbookViewId="0">
      <selection activeCell="C10" sqref="C10"/>
    </sheetView>
  </sheetViews>
  <sheetFormatPr defaultRowHeight="14.4" x14ac:dyDescent="0.3"/>
  <cols>
    <col min="1" max="1" width="87.77734375" bestFit="1" customWidth="1"/>
    <col min="2" max="2" width="58.5546875" bestFit="1" customWidth="1"/>
    <col min="3" max="3" width="30.109375" bestFit="1" customWidth="1"/>
    <col min="4" max="4" width="21.33203125" bestFit="1" customWidth="1"/>
    <col min="5" max="5" width="14.5546875" bestFit="1" customWidth="1"/>
    <col min="6" max="6" width="6.6640625" bestFit="1" customWidth="1"/>
    <col min="7" max="7" width="7.44140625" bestFit="1" customWidth="1"/>
    <col min="8" max="8" width="6.109375" bestFit="1" customWidth="1"/>
  </cols>
  <sheetData>
    <row r="1" spans="1:8" ht="21" x14ac:dyDescent="0.4">
      <c r="A1" s="13" t="s">
        <v>109</v>
      </c>
      <c r="B1" s="13"/>
      <c r="C1" s="13"/>
      <c r="D1" s="13"/>
      <c r="E1" s="13"/>
      <c r="F1" s="13"/>
      <c r="G1" s="13"/>
      <c r="H1" s="13"/>
    </row>
    <row r="2" spans="1:8" x14ac:dyDescent="0.3">
      <c r="A2" s="14" t="s">
        <v>110</v>
      </c>
      <c r="B2" s="14"/>
      <c r="C2" s="14"/>
      <c r="D2" s="14"/>
      <c r="E2" s="14"/>
      <c r="F2" s="14"/>
      <c r="G2" s="14"/>
      <c r="H2" s="14"/>
    </row>
    <row r="4" spans="1:8" x14ac:dyDescent="0.3">
      <c r="A4" s="15" t="s">
        <v>111</v>
      </c>
      <c r="B4" s="15" t="s">
        <v>112</v>
      </c>
      <c r="D4" s="15" t="s">
        <v>111</v>
      </c>
      <c r="E4" s="15" t="s">
        <v>112</v>
      </c>
    </row>
    <row r="5" spans="1:8" x14ac:dyDescent="0.3">
      <c r="A5" s="16" t="s">
        <v>93</v>
      </c>
      <c r="B5" s="16">
        <v>33</v>
      </c>
      <c r="D5" s="18" t="s">
        <v>97</v>
      </c>
      <c r="E5" s="16">
        <v>60576</v>
      </c>
    </row>
    <row r="6" spans="1:8" x14ac:dyDescent="0.3">
      <c r="A6" s="16" t="s">
        <v>94</v>
      </c>
      <c r="B6" s="16">
        <v>25</v>
      </c>
      <c r="D6" s="16" t="s">
        <v>115</v>
      </c>
      <c r="E6" s="16">
        <v>6.7</v>
      </c>
    </row>
    <row r="7" spans="1:8" x14ac:dyDescent="0.3">
      <c r="A7" s="16" t="s">
        <v>95</v>
      </c>
      <c r="B7" s="16">
        <v>6</v>
      </c>
      <c r="D7" s="16" t="s">
        <v>116</v>
      </c>
      <c r="E7" s="16">
        <v>6</v>
      </c>
    </row>
    <row r="8" spans="1:8" x14ac:dyDescent="0.3">
      <c r="A8" s="16" t="s">
        <v>113</v>
      </c>
      <c r="B8" s="16">
        <v>2</v>
      </c>
      <c r="D8" s="17" t="s">
        <v>96</v>
      </c>
      <c r="E8" s="17">
        <v>0</v>
      </c>
    </row>
    <row r="9" spans="1:8" x14ac:dyDescent="0.3">
      <c r="A9" s="17" t="s">
        <v>114</v>
      </c>
      <c r="B9" s="17">
        <v>12</v>
      </c>
    </row>
    <row r="12" spans="1:8" x14ac:dyDescent="0.3">
      <c r="A12" s="15" t="s">
        <v>2</v>
      </c>
      <c r="B12" s="15" t="s">
        <v>117</v>
      </c>
      <c r="C12" s="15" t="s">
        <v>14</v>
      </c>
      <c r="D12" s="15" t="s">
        <v>118</v>
      </c>
      <c r="E12" s="15" t="s">
        <v>119</v>
      </c>
      <c r="G12" s="15" t="s">
        <v>9</v>
      </c>
      <c r="H12" s="15" t="s">
        <v>120</v>
      </c>
    </row>
    <row r="13" spans="1:8" x14ac:dyDescent="0.3">
      <c r="A13" s="16" t="s">
        <v>16</v>
      </c>
      <c r="B13" s="16">
        <v>7</v>
      </c>
      <c r="C13" s="16">
        <v>6</v>
      </c>
      <c r="D13" s="18">
        <v>60571</v>
      </c>
      <c r="E13" s="16">
        <v>7.3</v>
      </c>
      <c r="G13" s="16" t="s">
        <v>14</v>
      </c>
      <c r="H13" s="16">
        <v>25</v>
      </c>
    </row>
    <row r="14" spans="1:8" x14ac:dyDescent="0.3">
      <c r="A14" s="16" t="s">
        <v>11</v>
      </c>
      <c r="B14" s="16">
        <v>6</v>
      </c>
      <c r="C14" s="16">
        <v>3</v>
      </c>
      <c r="D14" s="18">
        <v>48167</v>
      </c>
      <c r="E14" s="16">
        <v>4.7</v>
      </c>
      <c r="G14" s="16" t="s">
        <v>26</v>
      </c>
      <c r="H14" s="16">
        <v>6</v>
      </c>
    </row>
    <row r="15" spans="1:8" x14ac:dyDescent="0.3">
      <c r="A15" s="16" t="s">
        <v>20</v>
      </c>
      <c r="B15" s="16">
        <v>7</v>
      </c>
      <c r="C15" s="16">
        <v>6</v>
      </c>
      <c r="D15" s="18">
        <v>75000</v>
      </c>
      <c r="E15" s="16">
        <v>7.1</v>
      </c>
      <c r="G15" s="17" t="s">
        <v>100</v>
      </c>
      <c r="H15" s="17">
        <v>2</v>
      </c>
    </row>
    <row r="16" spans="1:8" x14ac:dyDescent="0.3">
      <c r="A16" s="16" t="s">
        <v>24</v>
      </c>
      <c r="B16" s="16">
        <v>6</v>
      </c>
      <c r="C16" s="16">
        <v>5</v>
      </c>
      <c r="D16" s="18">
        <v>52667</v>
      </c>
      <c r="E16" s="16">
        <v>4.3</v>
      </c>
    </row>
    <row r="17" spans="1:5" x14ac:dyDescent="0.3">
      <c r="A17" s="16" t="s">
        <v>99</v>
      </c>
      <c r="B17" s="16">
        <v>1</v>
      </c>
      <c r="C17" s="16">
        <v>0</v>
      </c>
      <c r="D17" s="18">
        <v>61000</v>
      </c>
      <c r="E17" s="16">
        <v>8</v>
      </c>
    </row>
    <row r="18" spans="1:5" x14ac:dyDescent="0.3">
      <c r="A18" s="17" t="s">
        <v>28</v>
      </c>
      <c r="B18" s="17">
        <v>6</v>
      </c>
      <c r="C18" s="17">
        <v>5</v>
      </c>
      <c r="D18" s="19">
        <v>64000</v>
      </c>
      <c r="E18" s="17">
        <v>9.5</v>
      </c>
    </row>
    <row r="23" spans="1:5" x14ac:dyDescent="0.3">
      <c r="A23" s="4" t="s">
        <v>121</v>
      </c>
      <c r="B23" s="4" t="s">
        <v>120</v>
      </c>
      <c r="C23" s="4" t="s">
        <v>105</v>
      </c>
    </row>
    <row r="24" spans="1:5" x14ac:dyDescent="0.3">
      <c r="A24" t="s">
        <v>3</v>
      </c>
      <c r="B24">
        <v>2</v>
      </c>
      <c r="C24" t="s">
        <v>106</v>
      </c>
    </row>
    <row r="25" spans="1:5" x14ac:dyDescent="0.3">
      <c r="A25" t="s">
        <v>4</v>
      </c>
      <c r="B25">
        <v>2</v>
      </c>
      <c r="C25" t="s">
        <v>107</v>
      </c>
    </row>
    <row r="26" spans="1:5" x14ac:dyDescent="0.3">
      <c r="A26" t="s">
        <v>2</v>
      </c>
      <c r="B26">
        <v>1</v>
      </c>
      <c r="C26" t="s">
        <v>107</v>
      </c>
    </row>
    <row r="27" spans="1:5" x14ac:dyDescent="0.3">
      <c r="A27" t="s">
        <v>7</v>
      </c>
      <c r="B27">
        <v>2</v>
      </c>
      <c r="C27" t="s">
        <v>107</v>
      </c>
    </row>
    <row r="28" spans="1:5" x14ac:dyDescent="0.3">
      <c r="A28" t="s">
        <v>6</v>
      </c>
      <c r="B28">
        <v>2</v>
      </c>
      <c r="C28" t="s">
        <v>106</v>
      </c>
    </row>
    <row r="29" spans="1:5" x14ac:dyDescent="0.3">
      <c r="A29" t="s">
        <v>1</v>
      </c>
      <c r="B29">
        <v>1</v>
      </c>
      <c r="C29" t="s">
        <v>107</v>
      </c>
    </row>
    <row r="30" spans="1:5" x14ac:dyDescent="0.3">
      <c r="A30" t="s">
        <v>8</v>
      </c>
      <c r="B30">
        <v>4</v>
      </c>
      <c r="C30" t="s">
        <v>107</v>
      </c>
    </row>
    <row r="31" spans="1:5" x14ac:dyDescent="0.3">
      <c r="A31" t="s">
        <v>5</v>
      </c>
      <c r="B31">
        <v>2</v>
      </c>
      <c r="C31" t="s">
        <v>106</v>
      </c>
    </row>
    <row r="32" spans="1:5" x14ac:dyDescent="0.3">
      <c r="A32" t="s">
        <v>9</v>
      </c>
      <c r="B32">
        <v>2</v>
      </c>
      <c r="C32" t="s">
        <v>107</v>
      </c>
    </row>
    <row r="33" spans="1:8" x14ac:dyDescent="0.3">
      <c r="A33" s="4" t="s">
        <v>122</v>
      </c>
      <c r="B33" s="4"/>
      <c r="C33" s="4"/>
      <c r="D33" s="4"/>
      <c r="E33" s="4"/>
      <c r="F33" s="4"/>
      <c r="G33" s="4"/>
      <c r="H33" s="4"/>
    </row>
    <row r="34" spans="1:8" x14ac:dyDescent="0.3">
      <c r="A34" t="s">
        <v>123</v>
      </c>
    </row>
    <row r="35" spans="1:8" x14ac:dyDescent="0.3">
      <c r="A35" t="s">
        <v>124</v>
      </c>
    </row>
    <row r="36" spans="1:8" x14ac:dyDescent="0.3">
      <c r="A36" t="s">
        <v>125</v>
      </c>
    </row>
    <row r="39" spans="1:8" x14ac:dyDescent="0.3">
      <c r="A39" s="2" t="s">
        <v>126</v>
      </c>
      <c r="B39" s="2"/>
      <c r="C39" s="2"/>
      <c r="D39" s="2"/>
      <c r="E39" s="2"/>
      <c r="F39" s="2"/>
    </row>
    <row r="40" spans="1:8" x14ac:dyDescent="0.3">
      <c r="A40" t="s">
        <v>127</v>
      </c>
      <c r="B40" t="s">
        <v>128</v>
      </c>
    </row>
    <row r="42" spans="1:8" x14ac:dyDescent="0.3">
      <c r="A42" s="39" t="s">
        <v>0</v>
      </c>
      <c r="B42" s="39" t="s">
        <v>1</v>
      </c>
      <c r="C42" s="39" t="s">
        <v>2</v>
      </c>
      <c r="D42" s="39" t="s">
        <v>5</v>
      </c>
      <c r="E42" s="39" t="s">
        <v>6</v>
      </c>
      <c r="F42" s="39" t="s">
        <v>9</v>
      </c>
    </row>
    <row r="43" spans="1:8" x14ac:dyDescent="0.3">
      <c r="A43" s="40">
        <v>1030</v>
      </c>
      <c r="B43" s="40" t="s">
        <v>68</v>
      </c>
      <c r="C43" s="40" t="s">
        <v>16</v>
      </c>
      <c r="D43" s="41">
        <v>85000</v>
      </c>
      <c r="E43" s="40">
        <v>15</v>
      </c>
      <c r="F43" s="40" t="s">
        <v>14</v>
      </c>
    </row>
    <row r="44" spans="1:8" x14ac:dyDescent="0.3">
      <c r="A44" t="s">
        <v>101</v>
      </c>
      <c r="B44" t="s">
        <v>129</v>
      </c>
      <c r="C44" t="s">
        <v>130</v>
      </c>
      <c r="D44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837E-058A-46BB-8FAF-1F194C0B6824}">
  <dimension ref="A1:M51"/>
  <sheetViews>
    <sheetView tabSelected="1" topLeftCell="H1" workbookViewId="0">
      <selection activeCell="D7" sqref="D7"/>
    </sheetView>
  </sheetViews>
  <sheetFormatPr defaultRowHeight="14.4" x14ac:dyDescent="0.3"/>
  <sheetData>
    <row r="1" spans="1:13" x14ac:dyDescent="0.3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</row>
    <row r="2" spans="1:13" x14ac:dyDescent="0.3">
      <c r="A2" t="s">
        <v>145</v>
      </c>
      <c r="B2" s="1">
        <v>46024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>
        <v>2</v>
      </c>
      <c r="I2">
        <v>65000</v>
      </c>
      <c r="J2">
        <v>10</v>
      </c>
      <c r="K2">
        <v>117000</v>
      </c>
      <c r="L2" t="s">
        <v>151</v>
      </c>
      <c r="M2" t="s">
        <v>152</v>
      </c>
    </row>
    <row r="3" spans="1:13" x14ac:dyDescent="0.3">
      <c r="A3" t="s">
        <v>153</v>
      </c>
      <c r="B3" s="1">
        <v>46025</v>
      </c>
      <c r="C3" t="s">
        <v>15</v>
      </c>
      <c r="D3" t="s">
        <v>154</v>
      </c>
      <c r="E3" t="s">
        <v>155</v>
      </c>
      <c r="F3" t="s">
        <v>156</v>
      </c>
      <c r="G3" t="s">
        <v>157</v>
      </c>
      <c r="H3">
        <v>5</v>
      </c>
      <c r="I3">
        <v>800</v>
      </c>
      <c r="J3">
        <v>5</v>
      </c>
      <c r="K3">
        <v>3800</v>
      </c>
      <c r="L3" t="s">
        <v>158</v>
      </c>
      <c r="M3" t="s">
        <v>152</v>
      </c>
    </row>
    <row r="4" spans="1:13" x14ac:dyDescent="0.3">
      <c r="A4" t="s">
        <v>159</v>
      </c>
      <c r="B4" s="1">
        <v>46026</v>
      </c>
      <c r="C4" t="s">
        <v>27</v>
      </c>
      <c r="D4" t="s">
        <v>160</v>
      </c>
      <c r="E4" t="s">
        <v>155</v>
      </c>
      <c r="F4" t="s">
        <v>161</v>
      </c>
      <c r="G4" t="s">
        <v>162</v>
      </c>
      <c r="H4">
        <v>3</v>
      </c>
      <c r="I4">
        <v>1800</v>
      </c>
      <c r="J4">
        <v>0</v>
      </c>
      <c r="K4">
        <v>5400</v>
      </c>
      <c r="L4" t="s">
        <v>163</v>
      </c>
      <c r="M4" t="s">
        <v>152</v>
      </c>
    </row>
    <row r="5" spans="1:13" x14ac:dyDescent="0.3">
      <c r="A5" t="s">
        <v>164</v>
      </c>
      <c r="B5" s="1">
        <v>46027</v>
      </c>
      <c r="C5" t="s">
        <v>165</v>
      </c>
      <c r="D5" t="s">
        <v>166</v>
      </c>
      <c r="E5" t="s">
        <v>148</v>
      </c>
      <c r="F5" t="s">
        <v>167</v>
      </c>
      <c r="G5" t="s">
        <v>168</v>
      </c>
      <c r="H5">
        <v>1</v>
      </c>
      <c r="I5">
        <v>15000</v>
      </c>
      <c r="J5">
        <v>8</v>
      </c>
      <c r="K5">
        <v>13800</v>
      </c>
      <c r="L5" t="s">
        <v>169</v>
      </c>
      <c r="M5" t="s">
        <v>152</v>
      </c>
    </row>
    <row r="6" spans="1:13" x14ac:dyDescent="0.3">
      <c r="A6" t="s">
        <v>170</v>
      </c>
      <c r="B6" s="1">
        <v>46028</v>
      </c>
      <c r="C6" t="s">
        <v>171</v>
      </c>
      <c r="D6" t="s">
        <v>172</v>
      </c>
      <c r="E6" t="s">
        <v>155</v>
      </c>
      <c r="F6" t="s">
        <v>149</v>
      </c>
      <c r="G6" t="s">
        <v>150</v>
      </c>
      <c r="H6">
        <v>4</v>
      </c>
      <c r="I6">
        <v>2500</v>
      </c>
      <c r="J6">
        <v>10</v>
      </c>
      <c r="K6">
        <v>9000</v>
      </c>
      <c r="L6" t="s">
        <v>158</v>
      </c>
      <c r="M6" t="s">
        <v>152</v>
      </c>
    </row>
    <row r="7" spans="1:13" x14ac:dyDescent="0.3">
      <c r="A7" t="s">
        <v>173</v>
      </c>
      <c r="B7" s="1">
        <v>46029</v>
      </c>
      <c r="C7" t="s">
        <v>174</v>
      </c>
      <c r="D7" t="s">
        <v>175</v>
      </c>
      <c r="E7" t="s">
        <v>148</v>
      </c>
      <c r="F7" t="s">
        <v>156</v>
      </c>
      <c r="G7" t="s">
        <v>157</v>
      </c>
      <c r="H7">
        <v>2</v>
      </c>
      <c r="I7">
        <v>32000</v>
      </c>
      <c r="J7">
        <v>5</v>
      </c>
      <c r="K7">
        <v>60800</v>
      </c>
      <c r="L7" t="s">
        <v>151</v>
      </c>
      <c r="M7" t="s">
        <v>152</v>
      </c>
    </row>
    <row r="8" spans="1:13" x14ac:dyDescent="0.3">
      <c r="A8" t="s">
        <v>176</v>
      </c>
      <c r="B8" s="1">
        <v>46030</v>
      </c>
      <c r="C8" t="s">
        <v>177</v>
      </c>
      <c r="D8" t="s">
        <v>178</v>
      </c>
      <c r="E8" t="s">
        <v>148</v>
      </c>
      <c r="F8" t="s">
        <v>161</v>
      </c>
      <c r="G8" t="s">
        <v>162</v>
      </c>
      <c r="H8">
        <v>1</v>
      </c>
      <c r="I8">
        <v>28000</v>
      </c>
      <c r="J8">
        <v>0</v>
      </c>
      <c r="K8">
        <v>28000</v>
      </c>
      <c r="L8" t="s">
        <v>163</v>
      </c>
      <c r="M8" t="s">
        <v>179</v>
      </c>
    </row>
    <row r="9" spans="1:13" x14ac:dyDescent="0.3">
      <c r="A9" t="s">
        <v>180</v>
      </c>
      <c r="B9" s="1">
        <v>46031</v>
      </c>
      <c r="C9" t="s">
        <v>54</v>
      </c>
      <c r="D9" t="s">
        <v>181</v>
      </c>
      <c r="E9" t="s">
        <v>182</v>
      </c>
      <c r="F9" t="s">
        <v>167</v>
      </c>
      <c r="G9" t="s">
        <v>168</v>
      </c>
      <c r="H9">
        <v>2</v>
      </c>
      <c r="I9">
        <v>9000</v>
      </c>
      <c r="J9">
        <v>10</v>
      </c>
      <c r="K9">
        <v>16200</v>
      </c>
      <c r="L9" t="s">
        <v>158</v>
      </c>
      <c r="M9" t="s">
        <v>152</v>
      </c>
    </row>
    <row r="10" spans="1:13" x14ac:dyDescent="0.3">
      <c r="A10" t="s">
        <v>183</v>
      </c>
      <c r="B10" s="1">
        <v>46032</v>
      </c>
      <c r="C10" t="s">
        <v>184</v>
      </c>
      <c r="D10" t="s">
        <v>185</v>
      </c>
      <c r="E10" t="s">
        <v>186</v>
      </c>
      <c r="F10" t="s">
        <v>149</v>
      </c>
      <c r="G10" t="s">
        <v>150</v>
      </c>
      <c r="H10">
        <v>3</v>
      </c>
      <c r="I10">
        <v>6500</v>
      </c>
      <c r="J10">
        <v>5</v>
      </c>
      <c r="K10">
        <v>18525</v>
      </c>
      <c r="L10" t="s">
        <v>151</v>
      </c>
      <c r="M10" t="s">
        <v>152</v>
      </c>
    </row>
    <row r="11" spans="1:13" x14ac:dyDescent="0.3">
      <c r="A11" t="s">
        <v>187</v>
      </c>
      <c r="B11" s="1">
        <v>46033</v>
      </c>
      <c r="C11" t="s">
        <v>58</v>
      </c>
      <c r="D11" t="s">
        <v>188</v>
      </c>
      <c r="E11" t="s">
        <v>186</v>
      </c>
      <c r="F11" t="s">
        <v>156</v>
      </c>
      <c r="G11" t="s">
        <v>157</v>
      </c>
      <c r="H11">
        <v>2</v>
      </c>
      <c r="I11">
        <v>12000</v>
      </c>
      <c r="J11">
        <v>10</v>
      </c>
      <c r="K11">
        <v>21600</v>
      </c>
      <c r="L11" t="s">
        <v>169</v>
      </c>
      <c r="M11" t="s">
        <v>152</v>
      </c>
    </row>
    <row r="12" spans="1:13" x14ac:dyDescent="0.3">
      <c r="A12" t="s">
        <v>189</v>
      </c>
      <c r="B12" s="1">
        <v>46034</v>
      </c>
      <c r="C12" t="s">
        <v>190</v>
      </c>
      <c r="D12" t="s">
        <v>147</v>
      </c>
      <c r="E12" t="s">
        <v>148</v>
      </c>
      <c r="F12" t="s">
        <v>161</v>
      </c>
      <c r="G12" t="s">
        <v>162</v>
      </c>
      <c r="H12">
        <v>1</v>
      </c>
      <c r="I12">
        <v>68000</v>
      </c>
      <c r="J12">
        <v>15</v>
      </c>
      <c r="K12">
        <v>57800</v>
      </c>
      <c r="L12" t="s">
        <v>151</v>
      </c>
      <c r="M12" t="s">
        <v>152</v>
      </c>
    </row>
    <row r="13" spans="1:13" x14ac:dyDescent="0.3">
      <c r="A13" t="s">
        <v>191</v>
      </c>
      <c r="B13" s="1">
        <v>46035</v>
      </c>
      <c r="C13" t="s">
        <v>192</v>
      </c>
      <c r="D13" t="s">
        <v>193</v>
      </c>
      <c r="E13" t="s">
        <v>155</v>
      </c>
      <c r="F13" t="s">
        <v>167</v>
      </c>
      <c r="G13" t="s">
        <v>168</v>
      </c>
      <c r="H13">
        <v>10</v>
      </c>
      <c r="I13">
        <v>600</v>
      </c>
      <c r="J13">
        <v>0</v>
      </c>
      <c r="K13">
        <v>6000</v>
      </c>
      <c r="L13" t="s">
        <v>163</v>
      </c>
      <c r="M13" t="s">
        <v>152</v>
      </c>
    </row>
    <row r="14" spans="1:13" x14ac:dyDescent="0.3">
      <c r="A14" t="s">
        <v>194</v>
      </c>
      <c r="B14" s="1">
        <v>46036</v>
      </c>
      <c r="C14" t="s">
        <v>195</v>
      </c>
      <c r="D14" t="s">
        <v>196</v>
      </c>
      <c r="E14" t="s">
        <v>197</v>
      </c>
      <c r="F14" t="s">
        <v>149</v>
      </c>
      <c r="G14" t="s">
        <v>150</v>
      </c>
      <c r="H14">
        <v>3</v>
      </c>
      <c r="I14">
        <v>3500</v>
      </c>
      <c r="J14">
        <v>5</v>
      </c>
      <c r="K14">
        <v>9975</v>
      </c>
      <c r="L14" t="s">
        <v>158</v>
      </c>
      <c r="M14" t="s">
        <v>152</v>
      </c>
    </row>
    <row r="15" spans="1:13" x14ac:dyDescent="0.3">
      <c r="A15" t="s">
        <v>198</v>
      </c>
      <c r="B15" s="1">
        <v>46037</v>
      </c>
      <c r="C15" t="s">
        <v>199</v>
      </c>
      <c r="D15" t="s">
        <v>200</v>
      </c>
      <c r="E15" t="s">
        <v>155</v>
      </c>
      <c r="F15" t="s">
        <v>156</v>
      </c>
      <c r="G15" t="s">
        <v>157</v>
      </c>
      <c r="H15">
        <v>2</v>
      </c>
      <c r="I15">
        <v>2200</v>
      </c>
      <c r="J15">
        <v>0</v>
      </c>
      <c r="K15">
        <v>4400</v>
      </c>
      <c r="L15" t="s">
        <v>151</v>
      </c>
      <c r="M15" t="s">
        <v>201</v>
      </c>
    </row>
    <row r="16" spans="1:13" x14ac:dyDescent="0.3">
      <c r="A16" t="s">
        <v>202</v>
      </c>
      <c r="B16" s="1">
        <v>46038</v>
      </c>
      <c r="C16" t="s">
        <v>72</v>
      </c>
      <c r="D16" t="s">
        <v>203</v>
      </c>
      <c r="E16" t="s">
        <v>182</v>
      </c>
      <c r="F16" t="s">
        <v>161</v>
      </c>
      <c r="G16" t="s">
        <v>162</v>
      </c>
      <c r="H16">
        <v>1</v>
      </c>
      <c r="I16">
        <v>35000</v>
      </c>
      <c r="J16">
        <v>10</v>
      </c>
      <c r="K16">
        <v>31500</v>
      </c>
      <c r="L16" t="s">
        <v>169</v>
      </c>
      <c r="M16" t="s">
        <v>152</v>
      </c>
    </row>
    <row r="17" spans="1:13" x14ac:dyDescent="0.3">
      <c r="A17" t="s">
        <v>204</v>
      </c>
      <c r="B17" s="1">
        <v>46039</v>
      </c>
      <c r="C17" t="s">
        <v>205</v>
      </c>
      <c r="D17" t="s">
        <v>206</v>
      </c>
      <c r="E17" t="s">
        <v>207</v>
      </c>
      <c r="F17" t="s">
        <v>167</v>
      </c>
      <c r="G17" t="s">
        <v>168</v>
      </c>
      <c r="H17">
        <v>4</v>
      </c>
      <c r="I17">
        <v>7500</v>
      </c>
      <c r="J17">
        <v>5</v>
      </c>
      <c r="K17">
        <v>28500</v>
      </c>
      <c r="L17" t="s">
        <v>158</v>
      </c>
      <c r="M17" t="s">
        <v>152</v>
      </c>
    </row>
    <row r="18" spans="1:13" x14ac:dyDescent="0.3">
      <c r="A18" t="s">
        <v>208</v>
      </c>
      <c r="B18" s="1">
        <v>46040</v>
      </c>
      <c r="C18" t="s">
        <v>209</v>
      </c>
      <c r="D18" t="s">
        <v>210</v>
      </c>
      <c r="E18" t="s">
        <v>155</v>
      </c>
      <c r="F18" t="s">
        <v>149</v>
      </c>
      <c r="G18" t="s">
        <v>150</v>
      </c>
      <c r="H18">
        <v>6</v>
      </c>
      <c r="I18">
        <v>1500</v>
      </c>
      <c r="J18">
        <v>0</v>
      </c>
      <c r="K18">
        <v>9000</v>
      </c>
      <c r="L18" t="s">
        <v>163</v>
      </c>
      <c r="M18" t="s">
        <v>152</v>
      </c>
    </row>
    <row r="19" spans="1:13" x14ac:dyDescent="0.3">
      <c r="A19" t="s">
        <v>211</v>
      </c>
      <c r="B19" s="1">
        <v>46041</v>
      </c>
      <c r="C19" t="s">
        <v>212</v>
      </c>
      <c r="D19" t="s">
        <v>213</v>
      </c>
      <c r="E19" t="s">
        <v>214</v>
      </c>
      <c r="F19" t="s">
        <v>156</v>
      </c>
      <c r="G19" t="s">
        <v>157</v>
      </c>
      <c r="H19">
        <v>2</v>
      </c>
      <c r="I19">
        <v>12000</v>
      </c>
      <c r="J19">
        <v>10</v>
      </c>
      <c r="K19">
        <v>21600</v>
      </c>
      <c r="L19" t="s">
        <v>151</v>
      </c>
      <c r="M19" t="s">
        <v>152</v>
      </c>
    </row>
    <row r="20" spans="1:13" x14ac:dyDescent="0.3">
      <c r="A20" t="s">
        <v>215</v>
      </c>
      <c r="B20" s="1">
        <v>46042</v>
      </c>
      <c r="C20" t="s">
        <v>61</v>
      </c>
      <c r="D20" t="s">
        <v>216</v>
      </c>
      <c r="E20" t="s">
        <v>148</v>
      </c>
      <c r="F20" t="s">
        <v>161</v>
      </c>
      <c r="G20" t="s">
        <v>162</v>
      </c>
      <c r="H20">
        <v>1</v>
      </c>
      <c r="I20">
        <v>45000</v>
      </c>
      <c r="J20">
        <v>5</v>
      </c>
      <c r="K20">
        <v>42750</v>
      </c>
      <c r="L20" t="s">
        <v>158</v>
      </c>
      <c r="M20" t="s">
        <v>152</v>
      </c>
    </row>
    <row r="21" spans="1:13" x14ac:dyDescent="0.3">
      <c r="A21" t="s">
        <v>217</v>
      </c>
      <c r="B21" s="1">
        <v>46043</v>
      </c>
      <c r="C21" t="s">
        <v>218</v>
      </c>
      <c r="D21" t="s">
        <v>219</v>
      </c>
      <c r="E21" t="s">
        <v>148</v>
      </c>
      <c r="F21" t="s">
        <v>167</v>
      </c>
      <c r="G21" t="s">
        <v>168</v>
      </c>
      <c r="H21">
        <v>3</v>
      </c>
      <c r="I21">
        <v>5500</v>
      </c>
      <c r="J21">
        <v>0</v>
      </c>
      <c r="K21">
        <v>16500</v>
      </c>
      <c r="L21" t="s">
        <v>163</v>
      </c>
      <c r="M21" t="s">
        <v>179</v>
      </c>
    </row>
    <row r="22" spans="1:13" x14ac:dyDescent="0.3">
      <c r="A22" t="s">
        <v>220</v>
      </c>
      <c r="B22" s="1">
        <v>46044</v>
      </c>
      <c r="C22" t="s">
        <v>221</v>
      </c>
      <c r="D22" t="s">
        <v>166</v>
      </c>
      <c r="E22" t="s">
        <v>148</v>
      </c>
      <c r="F22" t="s">
        <v>149</v>
      </c>
      <c r="G22" t="s">
        <v>150</v>
      </c>
      <c r="H22">
        <v>2</v>
      </c>
      <c r="I22">
        <v>17000</v>
      </c>
      <c r="J22">
        <v>10</v>
      </c>
      <c r="K22">
        <v>30600</v>
      </c>
      <c r="L22" t="s">
        <v>151</v>
      </c>
      <c r="M22" t="s">
        <v>152</v>
      </c>
    </row>
    <row r="23" spans="1:13" x14ac:dyDescent="0.3">
      <c r="A23" t="s">
        <v>222</v>
      </c>
      <c r="B23" s="1">
        <v>46045</v>
      </c>
      <c r="C23" t="s">
        <v>223</v>
      </c>
      <c r="D23" t="s">
        <v>160</v>
      </c>
      <c r="E23" t="s">
        <v>155</v>
      </c>
      <c r="F23" t="s">
        <v>156</v>
      </c>
      <c r="G23" t="s">
        <v>157</v>
      </c>
      <c r="H23">
        <v>5</v>
      </c>
      <c r="I23">
        <v>1800</v>
      </c>
      <c r="J23">
        <v>5</v>
      </c>
      <c r="K23">
        <v>8550</v>
      </c>
      <c r="L23" t="s">
        <v>158</v>
      </c>
      <c r="M23" t="s">
        <v>152</v>
      </c>
    </row>
    <row r="24" spans="1:13" x14ac:dyDescent="0.3">
      <c r="A24" t="s">
        <v>224</v>
      </c>
      <c r="B24" s="1">
        <v>46046</v>
      </c>
      <c r="C24" t="s">
        <v>225</v>
      </c>
      <c r="D24" t="s">
        <v>154</v>
      </c>
      <c r="E24" t="s">
        <v>155</v>
      </c>
      <c r="F24" t="s">
        <v>161</v>
      </c>
      <c r="G24" t="s">
        <v>162</v>
      </c>
      <c r="H24">
        <v>8</v>
      </c>
      <c r="I24">
        <v>900</v>
      </c>
      <c r="J24">
        <v>0</v>
      </c>
      <c r="K24">
        <v>7200</v>
      </c>
      <c r="L24" t="s">
        <v>163</v>
      </c>
      <c r="M24" t="s">
        <v>152</v>
      </c>
    </row>
    <row r="25" spans="1:13" x14ac:dyDescent="0.3">
      <c r="A25" t="s">
        <v>226</v>
      </c>
      <c r="B25" s="1">
        <v>46047</v>
      </c>
      <c r="C25" t="s">
        <v>227</v>
      </c>
      <c r="D25" t="s">
        <v>228</v>
      </c>
      <c r="E25" t="s">
        <v>207</v>
      </c>
      <c r="F25" t="s">
        <v>167</v>
      </c>
      <c r="G25" t="s">
        <v>168</v>
      </c>
      <c r="H25">
        <v>3</v>
      </c>
      <c r="I25">
        <v>4200</v>
      </c>
      <c r="J25">
        <v>10</v>
      </c>
      <c r="K25">
        <v>11340</v>
      </c>
      <c r="L25" t="s">
        <v>169</v>
      </c>
      <c r="M25" t="s">
        <v>152</v>
      </c>
    </row>
    <row r="26" spans="1:13" x14ac:dyDescent="0.3">
      <c r="A26" t="s">
        <v>229</v>
      </c>
      <c r="B26" s="1">
        <v>46048</v>
      </c>
      <c r="C26" t="s">
        <v>79</v>
      </c>
      <c r="D26" t="s">
        <v>147</v>
      </c>
      <c r="E26" t="s">
        <v>148</v>
      </c>
      <c r="F26" t="s">
        <v>149</v>
      </c>
      <c r="G26" t="s">
        <v>150</v>
      </c>
      <c r="H26">
        <v>1</v>
      </c>
      <c r="I26">
        <v>72000</v>
      </c>
      <c r="J26">
        <v>12</v>
      </c>
      <c r="K26">
        <v>63360</v>
      </c>
      <c r="L26" t="s">
        <v>151</v>
      </c>
      <c r="M26" t="s">
        <v>152</v>
      </c>
    </row>
    <row r="27" spans="1:13" x14ac:dyDescent="0.3">
      <c r="A27" t="s">
        <v>230</v>
      </c>
      <c r="B27" s="1">
        <v>46049</v>
      </c>
      <c r="C27" t="s">
        <v>231</v>
      </c>
      <c r="D27" t="s">
        <v>178</v>
      </c>
      <c r="E27" t="s">
        <v>148</v>
      </c>
      <c r="F27" t="s">
        <v>156</v>
      </c>
      <c r="G27" t="s">
        <v>157</v>
      </c>
      <c r="H27">
        <v>2</v>
      </c>
      <c r="I27">
        <v>29000</v>
      </c>
      <c r="J27">
        <v>5</v>
      </c>
      <c r="K27">
        <v>55100</v>
      </c>
      <c r="L27" t="s">
        <v>158</v>
      </c>
      <c r="M27" t="s">
        <v>152</v>
      </c>
    </row>
    <row r="28" spans="1:13" x14ac:dyDescent="0.3">
      <c r="A28" t="s">
        <v>232</v>
      </c>
      <c r="B28" s="1">
        <v>46050</v>
      </c>
      <c r="C28" t="s">
        <v>233</v>
      </c>
      <c r="D28" t="s">
        <v>181</v>
      </c>
      <c r="E28" t="s">
        <v>182</v>
      </c>
      <c r="F28" t="s">
        <v>161</v>
      </c>
      <c r="G28" t="s">
        <v>162</v>
      </c>
      <c r="H28">
        <v>1</v>
      </c>
      <c r="I28">
        <v>9800</v>
      </c>
      <c r="J28">
        <v>0</v>
      </c>
      <c r="K28">
        <v>9800</v>
      </c>
      <c r="L28" t="s">
        <v>163</v>
      </c>
      <c r="M28" t="s">
        <v>152</v>
      </c>
    </row>
    <row r="29" spans="1:13" x14ac:dyDescent="0.3">
      <c r="A29" t="s">
        <v>234</v>
      </c>
      <c r="B29" s="1">
        <v>46051</v>
      </c>
      <c r="C29" t="s">
        <v>235</v>
      </c>
      <c r="D29" t="s">
        <v>185</v>
      </c>
      <c r="E29" t="s">
        <v>186</v>
      </c>
      <c r="F29" t="s">
        <v>167</v>
      </c>
      <c r="G29" t="s">
        <v>168</v>
      </c>
      <c r="H29">
        <v>4</v>
      </c>
      <c r="I29">
        <v>6500</v>
      </c>
      <c r="J29">
        <v>10</v>
      </c>
      <c r="K29">
        <v>23400</v>
      </c>
      <c r="L29" t="s">
        <v>151</v>
      </c>
      <c r="M29" t="s">
        <v>152</v>
      </c>
    </row>
    <row r="30" spans="1:13" x14ac:dyDescent="0.3">
      <c r="A30" t="s">
        <v>236</v>
      </c>
      <c r="B30" s="1">
        <v>46052</v>
      </c>
      <c r="C30" t="s">
        <v>237</v>
      </c>
      <c r="D30" t="s">
        <v>196</v>
      </c>
      <c r="E30" t="s">
        <v>197</v>
      </c>
      <c r="F30" t="s">
        <v>149</v>
      </c>
      <c r="G30" t="s">
        <v>150</v>
      </c>
      <c r="H30">
        <v>2</v>
      </c>
      <c r="I30">
        <v>3600</v>
      </c>
      <c r="J30">
        <v>5</v>
      </c>
      <c r="K30">
        <v>6840</v>
      </c>
      <c r="L30" t="s">
        <v>158</v>
      </c>
      <c r="M30" t="s">
        <v>179</v>
      </c>
    </row>
    <row r="31" spans="1:13" x14ac:dyDescent="0.3">
      <c r="A31" t="s">
        <v>238</v>
      </c>
      <c r="B31" s="1">
        <v>46053</v>
      </c>
      <c r="C31" t="s">
        <v>23</v>
      </c>
      <c r="D31" t="s">
        <v>203</v>
      </c>
      <c r="E31" t="s">
        <v>182</v>
      </c>
      <c r="F31" t="s">
        <v>156</v>
      </c>
      <c r="G31" t="s">
        <v>157</v>
      </c>
      <c r="H31">
        <v>1</v>
      </c>
      <c r="I31">
        <v>36000</v>
      </c>
      <c r="J31">
        <v>15</v>
      </c>
      <c r="K31">
        <v>30600</v>
      </c>
      <c r="L31" t="s">
        <v>169</v>
      </c>
      <c r="M31" t="s">
        <v>152</v>
      </c>
    </row>
    <row r="32" spans="1:13" x14ac:dyDescent="0.3">
      <c r="A32" t="s">
        <v>239</v>
      </c>
      <c r="B32" s="1">
        <v>46054</v>
      </c>
      <c r="C32" t="s">
        <v>240</v>
      </c>
      <c r="D32" t="s">
        <v>175</v>
      </c>
      <c r="E32" t="s">
        <v>148</v>
      </c>
      <c r="F32" t="s">
        <v>161</v>
      </c>
      <c r="G32" t="s">
        <v>162</v>
      </c>
      <c r="H32">
        <v>2</v>
      </c>
      <c r="I32">
        <v>34000</v>
      </c>
      <c r="J32">
        <v>10</v>
      </c>
      <c r="K32">
        <v>61200</v>
      </c>
      <c r="L32" t="s">
        <v>151</v>
      </c>
      <c r="M32" t="s">
        <v>152</v>
      </c>
    </row>
    <row r="33" spans="1:13" x14ac:dyDescent="0.3">
      <c r="A33" t="s">
        <v>241</v>
      </c>
      <c r="B33" s="1">
        <v>46055</v>
      </c>
      <c r="C33" t="s">
        <v>242</v>
      </c>
      <c r="D33" t="s">
        <v>219</v>
      </c>
      <c r="E33" t="s">
        <v>148</v>
      </c>
      <c r="F33" t="s">
        <v>167</v>
      </c>
      <c r="G33" t="s">
        <v>168</v>
      </c>
      <c r="H33">
        <v>5</v>
      </c>
      <c r="I33">
        <v>5800</v>
      </c>
      <c r="J33">
        <v>5</v>
      </c>
      <c r="K33">
        <v>27550</v>
      </c>
      <c r="L33" t="s">
        <v>163</v>
      </c>
      <c r="M33" t="s">
        <v>152</v>
      </c>
    </row>
    <row r="34" spans="1:13" x14ac:dyDescent="0.3">
      <c r="A34" t="s">
        <v>243</v>
      </c>
      <c r="B34" s="1">
        <v>46056</v>
      </c>
      <c r="C34" t="s">
        <v>77</v>
      </c>
      <c r="D34" t="s">
        <v>172</v>
      </c>
      <c r="E34" t="s">
        <v>155</v>
      </c>
      <c r="F34" t="s">
        <v>149</v>
      </c>
      <c r="G34" t="s">
        <v>150</v>
      </c>
      <c r="H34">
        <v>3</v>
      </c>
      <c r="I34">
        <v>2700</v>
      </c>
      <c r="J34">
        <v>0</v>
      </c>
      <c r="K34">
        <v>8100</v>
      </c>
      <c r="L34" t="s">
        <v>158</v>
      </c>
      <c r="M34" t="s">
        <v>152</v>
      </c>
    </row>
    <row r="35" spans="1:13" x14ac:dyDescent="0.3">
      <c r="A35" t="s">
        <v>244</v>
      </c>
      <c r="B35" s="1">
        <v>46057</v>
      </c>
      <c r="C35" t="s">
        <v>245</v>
      </c>
      <c r="D35" t="s">
        <v>216</v>
      </c>
      <c r="E35" t="s">
        <v>148</v>
      </c>
      <c r="F35" t="s">
        <v>156</v>
      </c>
      <c r="G35" t="s">
        <v>157</v>
      </c>
      <c r="H35">
        <v>1</v>
      </c>
      <c r="I35">
        <v>47000</v>
      </c>
      <c r="J35">
        <v>10</v>
      </c>
      <c r="K35">
        <v>42300</v>
      </c>
      <c r="L35" t="s">
        <v>151</v>
      </c>
      <c r="M35" t="s">
        <v>152</v>
      </c>
    </row>
    <row r="36" spans="1:13" x14ac:dyDescent="0.3">
      <c r="A36" t="s">
        <v>246</v>
      </c>
      <c r="B36" s="1">
        <v>46058</v>
      </c>
      <c r="C36" t="s">
        <v>247</v>
      </c>
      <c r="D36" t="s">
        <v>210</v>
      </c>
      <c r="E36" t="s">
        <v>155</v>
      </c>
      <c r="F36" t="s">
        <v>161</v>
      </c>
      <c r="G36" t="s">
        <v>162</v>
      </c>
      <c r="H36">
        <v>8</v>
      </c>
      <c r="I36">
        <v>1600</v>
      </c>
      <c r="J36">
        <v>5</v>
      </c>
      <c r="K36">
        <v>12160</v>
      </c>
      <c r="L36" t="s">
        <v>163</v>
      </c>
      <c r="M36" t="s">
        <v>152</v>
      </c>
    </row>
    <row r="37" spans="1:13" x14ac:dyDescent="0.3">
      <c r="A37" t="s">
        <v>248</v>
      </c>
      <c r="B37" s="1">
        <v>46059</v>
      </c>
      <c r="C37" t="s">
        <v>249</v>
      </c>
      <c r="D37" t="s">
        <v>188</v>
      </c>
      <c r="E37" t="s">
        <v>186</v>
      </c>
      <c r="F37" t="s">
        <v>167</v>
      </c>
      <c r="G37" t="s">
        <v>168</v>
      </c>
      <c r="H37">
        <v>2</v>
      </c>
      <c r="I37">
        <v>12500</v>
      </c>
      <c r="J37">
        <v>10</v>
      </c>
      <c r="K37">
        <v>22500</v>
      </c>
      <c r="L37" t="s">
        <v>169</v>
      </c>
      <c r="M37" t="s">
        <v>152</v>
      </c>
    </row>
    <row r="38" spans="1:13" x14ac:dyDescent="0.3">
      <c r="A38" t="s">
        <v>250</v>
      </c>
      <c r="B38" s="1">
        <v>46060</v>
      </c>
      <c r="C38" t="s">
        <v>251</v>
      </c>
      <c r="D38" t="s">
        <v>193</v>
      </c>
      <c r="E38" t="s">
        <v>155</v>
      </c>
      <c r="F38" t="s">
        <v>149</v>
      </c>
      <c r="G38" t="s">
        <v>150</v>
      </c>
      <c r="H38">
        <v>15</v>
      </c>
      <c r="I38">
        <v>650</v>
      </c>
      <c r="J38">
        <v>0</v>
      </c>
      <c r="K38">
        <v>9750</v>
      </c>
      <c r="L38" t="s">
        <v>158</v>
      </c>
      <c r="M38" t="s">
        <v>152</v>
      </c>
    </row>
    <row r="39" spans="1:13" x14ac:dyDescent="0.3">
      <c r="A39" t="s">
        <v>252</v>
      </c>
      <c r="B39" s="1">
        <v>46061</v>
      </c>
      <c r="C39" t="s">
        <v>253</v>
      </c>
      <c r="D39" t="s">
        <v>213</v>
      </c>
      <c r="E39" t="s">
        <v>214</v>
      </c>
      <c r="F39" t="s">
        <v>156</v>
      </c>
      <c r="G39" t="s">
        <v>157</v>
      </c>
      <c r="H39">
        <v>2</v>
      </c>
      <c r="I39">
        <v>12500</v>
      </c>
      <c r="J39">
        <v>5</v>
      </c>
      <c r="K39">
        <v>23750</v>
      </c>
      <c r="L39" t="s">
        <v>151</v>
      </c>
      <c r="M39" t="s">
        <v>152</v>
      </c>
    </row>
    <row r="40" spans="1:13" x14ac:dyDescent="0.3">
      <c r="A40" t="s">
        <v>254</v>
      </c>
      <c r="B40" s="1">
        <v>46062</v>
      </c>
      <c r="C40" t="s">
        <v>255</v>
      </c>
      <c r="D40" t="s">
        <v>147</v>
      </c>
      <c r="E40" t="s">
        <v>148</v>
      </c>
      <c r="F40" t="s">
        <v>161</v>
      </c>
      <c r="G40" t="s">
        <v>162</v>
      </c>
      <c r="H40">
        <v>1</v>
      </c>
      <c r="I40">
        <v>70000</v>
      </c>
      <c r="J40">
        <v>8</v>
      </c>
      <c r="K40">
        <v>64400</v>
      </c>
      <c r="L40" t="s">
        <v>158</v>
      </c>
      <c r="M40" t="s">
        <v>179</v>
      </c>
    </row>
    <row r="41" spans="1:13" x14ac:dyDescent="0.3">
      <c r="A41" t="s">
        <v>256</v>
      </c>
      <c r="B41" s="1">
        <v>46063</v>
      </c>
      <c r="C41" t="s">
        <v>257</v>
      </c>
      <c r="D41" t="s">
        <v>166</v>
      </c>
      <c r="E41" t="s">
        <v>148</v>
      </c>
      <c r="F41" t="s">
        <v>167</v>
      </c>
      <c r="G41" t="s">
        <v>168</v>
      </c>
      <c r="H41">
        <v>2</v>
      </c>
      <c r="I41">
        <v>16500</v>
      </c>
      <c r="J41">
        <v>10</v>
      </c>
      <c r="K41">
        <v>29700</v>
      </c>
      <c r="L41" t="s">
        <v>151</v>
      </c>
      <c r="M41" t="s">
        <v>152</v>
      </c>
    </row>
    <row r="42" spans="1:13" x14ac:dyDescent="0.3">
      <c r="A42" t="s">
        <v>258</v>
      </c>
      <c r="B42" s="1">
        <v>46064</v>
      </c>
      <c r="C42" t="s">
        <v>259</v>
      </c>
      <c r="D42" t="s">
        <v>206</v>
      </c>
      <c r="E42" t="s">
        <v>207</v>
      </c>
      <c r="F42" t="s">
        <v>149</v>
      </c>
      <c r="G42" t="s">
        <v>150</v>
      </c>
      <c r="H42">
        <v>3</v>
      </c>
      <c r="I42">
        <v>7800</v>
      </c>
      <c r="J42">
        <v>5</v>
      </c>
      <c r="K42">
        <v>22230</v>
      </c>
      <c r="L42" t="s">
        <v>163</v>
      </c>
      <c r="M42" t="s">
        <v>152</v>
      </c>
    </row>
    <row r="43" spans="1:13" x14ac:dyDescent="0.3">
      <c r="A43" t="s">
        <v>260</v>
      </c>
      <c r="B43" s="1">
        <v>46065</v>
      </c>
      <c r="C43" t="s">
        <v>261</v>
      </c>
      <c r="D43" t="s">
        <v>181</v>
      </c>
      <c r="E43" t="s">
        <v>182</v>
      </c>
      <c r="F43" t="s">
        <v>156</v>
      </c>
      <c r="G43" t="s">
        <v>157</v>
      </c>
      <c r="H43">
        <v>1</v>
      </c>
      <c r="I43">
        <v>9500</v>
      </c>
      <c r="J43">
        <v>0</v>
      </c>
      <c r="K43">
        <v>9500</v>
      </c>
      <c r="L43" t="s">
        <v>158</v>
      </c>
      <c r="M43" t="s">
        <v>201</v>
      </c>
    </row>
    <row r="44" spans="1:13" x14ac:dyDescent="0.3">
      <c r="A44" t="s">
        <v>262</v>
      </c>
      <c r="B44" s="1">
        <v>46066</v>
      </c>
      <c r="C44" t="s">
        <v>263</v>
      </c>
      <c r="D44" t="s">
        <v>160</v>
      </c>
      <c r="E44" t="s">
        <v>155</v>
      </c>
      <c r="F44" t="s">
        <v>161</v>
      </c>
      <c r="G44" t="s">
        <v>162</v>
      </c>
      <c r="H44">
        <v>6</v>
      </c>
      <c r="I44">
        <v>1900</v>
      </c>
      <c r="J44">
        <v>10</v>
      </c>
      <c r="K44">
        <v>10260</v>
      </c>
      <c r="L44" t="s">
        <v>151</v>
      </c>
      <c r="M44" t="s">
        <v>152</v>
      </c>
    </row>
    <row r="45" spans="1:13" x14ac:dyDescent="0.3">
      <c r="A45" t="s">
        <v>264</v>
      </c>
      <c r="B45" s="1">
        <v>46067</v>
      </c>
      <c r="C45" t="s">
        <v>265</v>
      </c>
      <c r="D45" t="s">
        <v>154</v>
      </c>
      <c r="E45" t="s">
        <v>155</v>
      </c>
      <c r="F45" t="s">
        <v>167</v>
      </c>
      <c r="G45" t="s">
        <v>168</v>
      </c>
      <c r="H45">
        <v>10</v>
      </c>
      <c r="I45">
        <v>850</v>
      </c>
      <c r="J45">
        <v>5</v>
      </c>
      <c r="K45">
        <v>8075</v>
      </c>
      <c r="L45" t="s">
        <v>163</v>
      </c>
      <c r="M45" t="s">
        <v>152</v>
      </c>
    </row>
    <row r="46" spans="1:13" x14ac:dyDescent="0.3">
      <c r="A46" t="s">
        <v>266</v>
      </c>
      <c r="B46" s="1">
        <v>46068</v>
      </c>
      <c r="C46" t="s">
        <v>267</v>
      </c>
      <c r="D46" t="s">
        <v>196</v>
      </c>
      <c r="E46" t="s">
        <v>197</v>
      </c>
      <c r="F46" t="s">
        <v>149</v>
      </c>
      <c r="G46" t="s">
        <v>150</v>
      </c>
      <c r="H46">
        <v>4</v>
      </c>
      <c r="I46">
        <v>3700</v>
      </c>
      <c r="J46">
        <v>0</v>
      </c>
      <c r="K46">
        <v>14800</v>
      </c>
      <c r="L46" t="s">
        <v>158</v>
      </c>
      <c r="M46" t="s">
        <v>152</v>
      </c>
    </row>
    <row r="47" spans="1:13" x14ac:dyDescent="0.3">
      <c r="A47" t="s">
        <v>268</v>
      </c>
      <c r="B47" s="1">
        <v>46069</v>
      </c>
      <c r="C47" t="s">
        <v>269</v>
      </c>
      <c r="D47" t="s">
        <v>216</v>
      </c>
      <c r="E47" t="s">
        <v>148</v>
      </c>
      <c r="F47" t="s">
        <v>156</v>
      </c>
      <c r="G47" t="s">
        <v>157</v>
      </c>
      <c r="H47">
        <v>1</v>
      </c>
      <c r="I47">
        <v>48000</v>
      </c>
      <c r="J47">
        <v>12</v>
      </c>
      <c r="K47">
        <v>42240</v>
      </c>
      <c r="L47" t="s">
        <v>151</v>
      </c>
      <c r="M47" t="s">
        <v>152</v>
      </c>
    </row>
    <row r="48" spans="1:13" x14ac:dyDescent="0.3">
      <c r="A48" t="s">
        <v>270</v>
      </c>
      <c r="B48" s="1">
        <v>46070</v>
      </c>
      <c r="C48" t="s">
        <v>271</v>
      </c>
      <c r="D48" t="s">
        <v>178</v>
      </c>
      <c r="E48" t="s">
        <v>148</v>
      </c>
      <c r="F48" t="s">
        <v>161</v>
      </c>
      <c r="G48" t="s">
        <v>162</v>
      </c>
      <c r="H48">
        <v>2</v>
      </c>
      <c r="I48">
        <v>30000</v>
      </c>
      <c r="J48">
        <v>10</v>
      </c>
      <c r="K48">
        <v>54000</v>
      </c>
      <c r="L48" t="s">
        <v>169</v>
      </c>
      <c r="M48" t="s">
        <v>152</v>
      </c>
    </row>
    <row r="49" spans="1:13" x14ac:dyDescent="0.3">
      <c r="A49" t="s">
        <v>272</v>
      </c>
      <c r="B49" s="1">
        <v>46071</v>
      </c>
      <c r="C49" t="s">
        <v>273</v>
      </c>
      <c r="D49" t="s">
        <v>219</v>
      </c>
      <c r="E49" t="s">
        <v>148</v>
      </c>
      <c r="F49" t="s">
        <v>167</v>
      </c>
      <c r="G49" t="s">
        <v>168</v>
      </c>
      <c r="H49">
        <v>4</v>
      </c>
      <c r="I49">
        <v>6000</v>
      </c>
      <c r="J49">
        <v>5</v>
      </c>
      <c r="K49">
        <v>22800</v>
      </c>
      <c r="L49" t="s">
        <v>163</v>
      </c>
      <c r="M49" t="s">
        <v>152</v>
      </c>
    </row>
    <row r="50" spans="1:13" x14ac:dyDescent="0.3">
      <c r="A50" t="s">
        <v>274</v>
      </c>
      <c r="B50" s="1">
        <v>46072</v>
      </c>
      <c r="C50" t="s">
        <v>275</v>
      </c>
      <c r="D50" t="s">
        <v>188</v>
      </c>
      <c r="E50" t="s">
        <v>186</v>
      </c>
      <c r="F50" t="s">
        <v>149</v>
      </c>
      <c r="G50" t="s">
        <v>150</v>
      </c>
      <c r="H50">
        <v>1</v>
      </c>
      <c r="I50">
        <v>13000</v>
      </c>
      <c r="J50">
        <v>0</v>
      </c>
      <c r="K50">
        <v>13000</v>
      </c>
      <c r="L50" t="s">
        <v>158</v>
      </c>
      <c r="M50" t="s">
        <v>179</v>
      </c>
    </row>
    <row r="51" spans="1:13" x14ac:dyDescent="0.3">
      <c r="A51" t="s">
        <v>276</v>
      </c>
      <c r="B51" s="1">
        <v>46073</v>
      </c>
      <c r="C51" t="s">
        <v>277</v>
      </c>
      <c r="D51" t="s">
        <v>147</v>
      </c>
      <c r="E51" t="s">
        <v>148</v>
      </c>
      <c r="F51" t="s">
        <v>156</v>
      </c>
      <c r="G51" t="s">
        <v>157</v>
      </c>
      <c r="H51">
        <v>2</v>
      </c>
      <c r="I51">
        <v>71000</v>
      </c>
      <c r="J51">
        <v>10</v>
      </c>
      <c r="K51">
        <v>127800</v>
      </c>
      <c r="L51" t="s">
        <v>151</v>
      </c>
      <c r="M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2026-07-16T11:29:25Z</dcterms:created>
  <dcterms:modified xsi:type="dcterms:W3CDTF">2026-07-16T13:58:39Z</dcterms:modified>
</cp:coreProperties>
</file>