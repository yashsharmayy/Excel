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_pro\Excel_learning\"/>
    </mc:Choice>
  </mc:AlternateContent>
  <xr:revisionPtr revIDLastSave="0" documentId="13_ncr:1_{C059919E-03D5-497E-B426-26498DD927CF}" xr6:coauthVersionLast="47" xr6:coauthVersionMax="47" xr10:uidLastSave="{00000000-0000-0000-0000-000000000000}"/>
  <bookViews>
    <workbookView xWindow="12444" yWindow="60" windowWidth="11160" windowHeight="11712" activeTab="2" xr2:uid="{9ED14E8E-887B-48CD-95B5-36770DC5698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L6" i="3" a="1"/>
  <c r="L6" i="3" s="1"/>
  <c r="L5" i="3" a="1"/>
  <c r="L5" i="3" s="1"/>
  <c r="L7" i="3" a="1"/>
  <c r="L7" i="3" s="1"/>
  <c r="L2" i="3" a="1"/>
  <c r="L2" i="3" s="1"/>
  <c r="L3" i="3" a="1"/>
  <c r="L3" i="3" s="1"/>
  <c r="L4" i="3" a="1"/>
  <c r="L4" i="3" s="1"/>
  <c r="F3" i="3" a="1"/>
  <c r="F3" i="3"/>
  <c r="F4" i="3" a="1"/>
  <c r="F4" i="3"/>
  <c r="F5" i="3" a="1"/>
  <c r="F5" i="3"/>
  <c r="F6" i="3" a="1"/>
  <c r="F6" i="3"/>
  <c r="F7" i="3" a="1"/>
  <c r="F7" i="3"/>
  <c r="F2" i="3" a="1"/>
  <c r="F2" i="3"/>
  <c r="E3" i="3" a="1"/>
  <c r="E3" i="3"/>
  <c r="E4" i="3" a="1"/>
  <c r="E4" i="3"/>
  <c r="E5" i="3" a="1"/>
  <c r="E5" i="3"/>
  <c r="E6" i="3" a="1"/>
  <c r="E6" i="3"/>
  <c r="E7" i="3" a="1"/>
  <c r="E7" i="3"/>
  <c r="E2" i="3" a="1"/>
  <c r="E2" i="3" s="1"/>
  <c r="L3" i="2"/>
  <c r="L4" i="2"/>
  <c r="L5" i="2"/>
  <c r="L6" i="2"/>
  <c r="L2" i="2"/>
  <c r="K3" i="2"/>
  <c r="K4" i="2"/>
  <c r="K5" i="2"/>
  <c r="K6" i="2"/>
  <c r="K2" i="2"/>
  <c r="J6" i="2"/>
  <c r="M6" i="2" s="1"/>
  <c r="I6" i="2"/>
  <c r="J5" i="2"/>
  <c r="M5" i="2" s="1"/>
  <c r="I5" i="2"/>
  <c r="J4" i="2"/>
  <c r="M4" i="2" s="1"/>
  <c r="I4" i="2"/>
  <c r="J3" i="2"/>
  <c r="M3" i="2" s="1"/>
  <c r="I3" i="2"/>
  <c r="J2" i="2"/>
  <c r="M2" i="2" s="1"/>
  <c r="I2" i="2"/>
  <c r="O3" i="1"/>
  <c r="O4" i="1"/>
  <c r="O5" i="1"/>
  <c r="O6" i="1"/>
  <c r="O7" i="1"/>
  <c r="O8" i="1"/>
  <c r="O9" i="1"/>
  <c r="O2" i="1"/>
  <c r="N2" i="1"/>
  <c r="N3" i="1"/>
  <c r="N4" i="1"/>
  <c r="N5" i="1"/>
  <c r="H7" i="1"/>
  <c r="H8" i="1"/>
  <c r="H6" i="1"/>
  <c r="H4" i="1"/>
  <c r="H3" i="1"/>
  <c r="G4" i="1"/>
  <c r="G6" i="1"/>
  <c r="G7" i="1"/>
  <c r="G8" i="1"/>
  <c r="G3" i="1"/>
  <c r="N7" i="1" l="1"/>
  <c r="N9" i="1"/>
  <c r="N8" i="1"/>
  <c r="N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<sst xmlns="http://schemas.openxmlformats.org/spreadsheetml/2006/main" count="77" uniqueCount="53">
  <si>
    <t>Sr No</t>
  </si>
  <si>
    <t>Sub1</t>
  </si>
  <si>
    <t>Sub2</t>
  </si>
  <si>
    <t>Sub3</t>
  </si>
  <si>
    <t>Sub4</t>
  </si>
  <si>
    <t>Total</t>
  </si>
  <si>
    <t>Student Marks</t>
  </si>
  <si>
    <t>A</t>
  </si>
  <si>
    <t>B</t>
  </si>
  <si>
    <t>C</t>
  </si>
  <si>
    <t>D</t>
  </si>
  <si>
    <t>E</t>
  </si>
  <si>
    <t>Result</t>
  </si>
  <si>
    <t xml:space="preserve">Compulsary : And </t>
  </si>
  <si>
    <t>optional</t>
  </si>
  <si>
    <t>Or</t>
  </si>
  <si>
    <t>AND</t>
  </si>
  <si>
    <t>OR</t>
  </si>
  <si>
    <t>Emp</t>
  </si>
  <si>
    <t xml:space="preserve">Sr No </t>
  </si>
  <si>
    <t>performance/10</t>
  </si>
  <si>
    <t>Promotion Yes / no</t>
  </si>
  <si>
    <t>F</t>
  </si>
  <si>
    <t>G</t>
  </si>
  <si>
    <t>H</t>
  </si>
  <si>
    <t>Days(30)</t>
  </si>
  <si>
    <t>OR Promo yes/no</t>
  </si>
  <si>
    <t>Nested IF else</t>
  </si>
  <si>
    <t>(old version)</t>
  </si>
  <si>
    <t>pass</t>
  </si>
  <si>
    <t>fail</t>
  </si>
  <si>
    <t>A+</t>
  </si>
  <si>
    <t>%percentage</t>
  </si>
  <si>
    <t>only Grade</t>
  </si>
  <si>
    <t>Grade with pass condition</t>
  </si>
  <si>
    <t>new version IFS</t>
  </si>
  <si>
    <t>SR No</t>
  </si>
  <si>
    <t>customer</t>
  </si>
  <si>
    <t>Yash</t>
  </si>
  <si>
    <t>ram</t>
  </si>
  <si>
    <t>raja</t>
  </si>
  <si>
    <t>kishor</t>
  </si>
  <si>
    <t>raju</t>
  </si>
  <si>
    <t>vishal</t>
  </si>
  <si>
    <t>quantity order</t>
  </si>
  <si>
    <t>discount%</t>
  </si>
  <si>
    <t>Conditions</t>
  </si>
  <si>
    <t>Gretaer then equal to 10</t>
  </si>
  <si>
    <t>Greter than equal to 5</t>
  </si>
  <si>
    <t>Less then 5</t>
  </si>
  <si>
    <t>Qality duiscount</t>
  </si>
  <si>
    <t>Rating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</si>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</sst>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8464-66E0-4709-89A5-1389BF39B691}">
  <dimension ref="A1:O14"/>
  <sheetViews>
    <sheetView zoomScale="101" zoomScaleNormal="120" workbookViewId="0">
      <selection activeCell="A2" sqref="A2:H8"/>
    </sheetView>
  </sheetViews>
  <sheetFormatPr defaultRowHeight="14.4" x14ac:dyDescent="0.3"/>
  <cols>
    <col min="2" max="2" width="13.21875" bestFit="1" customWidth="1"/>
    <col min="13" max="13" width="14.88671875" bestFit="1" customWidth="1"/>
    <col min="14" max="14" width="17.33203125" bestFit="1" customWidth="1"/>
    <col min="15" max="15" width="16.109375" bestFit="1" customWidth="1"/>
    <col min="16" max="16" width="12.77734375" bestFit="1" customWidth="1"/>
  </cols>
  <sheetData>
    <row r="1" spans="1:15" x14ac:dyDescent="0.3">
      <c r="D1" s="1" t="s">
        <v>16</v>
      </c>
      <c r="J1" t="s">
        <v>19</v>
      </c>
      <c r="K1" t="s">
        <v>18</v>
      </c>
      <c r="L1" t="s">
        <v>25</v>
      </c>
      <c r="M1" t="s">
        <v>20</v>
      </c>
      <c r="N1" t="s">
        <v>21</v>
      </c>
      <c r="O1" t="s">
        <v>26</v>
      </c>
    </row>
    <row r="2" spans="1:15" x14ac:dyDescent="0.3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12</v>
      </c>
      <c r="J2">
        <v>1</v>
      </c>
      <c r="K2" t="s">
        <v>7</v>
      </c>
      <c r="L2">
        <v>10</v>
      </c>
      <c r="M2">
        <v>5</v>
      </c>
      <c r="N2" t="str">
        <f>IF(AND(L2&gt;=15,M2&gt;=7),"Yes","No")</f>
        <v>No</v>
      </c>
      <c r="O2" t="str">
        <f>IF(OR(L2&gt;15,M2=7),"Yes","No")</f>
        <v>No</v>
      </c>
    </row>
    <row r="3" spans="1:15" x14ac:dyDescent="0.3">
      <c r="A3">
        <v>1</v>
      </c>
      <c r="B3" t="s">
        <v>7</v>
      </c>
      <c r="C3">
        <v>45</v>
      </c>
      <c r="D3">
        <v>15</v>
      </c>
      <c r="E3">
        <v>37</v>
      </c>
      <c r="F3">
        <v>85</v>
      </c>
      <c r="G3">
        <f>SUM(A3:F3)</f>
        <v>183</v>
      </c>
      <c r="H3" t="str">
        <f>IF(AND(D3&gt;=33,E3&gt;=33,F3&gt;=33),"Pass","Fail")</f>
        <v>Fail</v>
      </c>
      <c r="J3">
        <v>2</v>
      </c>
      <c r="K3" t="s">
        <v>8</v>
      </c>
      <c r="L3">
        <v>19</v>
      </c>
      <c r="M3">
        <v>6</v>
      </c>
      <c r="N3" t="str">
        <f t="shared" ref="N3:N9" si="0">IF(AND(L3&gt;=15,M3&gt;=7),"Yes","No")</f>
        <v>No</v>
      </c>
      <c r="O3" t="str">
        <f t="shared" ref="O3:O9" si="1">IF(OR(L3&gt;15,M3=7),"Yes","No")</f>
        <v>Yes</v>
      </c>
    </row>
    <row r="4" spans="1:15" x14ac:dyDescent="0.3">
      <c r="A4">
        <v>2</v>
      </c>
      <c r="B4" t="s">
        <v>8</v>
      </c>
      <c r="C4">
        <v>33</v>
      </c>
      <c r="D4">
        <v>57</v>
      </c>
      <c r="E4">
        <v>17</v>
      </c>
      <c r="F4">
        <v>46</v>
      </c>
      <c r="G4">
        <f>SUM(A4:F4)</f>
        <v>155</v>
      </c>
      <c r="H4" t="str">
        <f t="shared" ref="H4" si="2">IF(AND(D4&gt;=33,E4&gt;=33,F4&gt;=33),"Pass","Fail")</f>
        <v>Fail</v>
      </c>
      <c r="J4">
        <v>3</v>
      </c>
      <c r="K4" t="s">
        <v>9</v>
      </c>
      <c r="L4">
        <v>18</v>
      </c>
      <c r="M4">
        <v>4</v>
      </c>
      <c r="N4" t="str">
        <f t="shared" si="0"/>
        <v>No</v>
      </c>
      <c r="O4" t="str">
        <f t="shared" si="1"/>
        <v>Yes</v>
      </c>
    </row>
    <row r="5" spans="1:15" x14ac:dyDescent="0.3">
      <c r="D5" s="1" t="s">
        <v>17</v>
      </c>
      <c r="J5">
        <v>4</v>
      </c>
      <c r="K5" t="s">
        <v>10</v>
      </c>
      <c r="L5">
        <v>22</v>
      </c>
      <c r="M5">
        <v>6</v>
      </c>
      <c r="N5" t="str">
        <f t="shared" si="0"/>
        <v>No</v>
      </c>
      <c r="O5" t="str">
        <f t="shared" si="1"/>
        <v>Yes</v>
      </c>
    </row>
    <row r="6" spans="1:15" x14ac:dyDescent="0.3">
      <c r="A6">
        <v>3</v>
      </c>
      <c r="B6" t="s">
        <v>9</v>
      </c>
      <c r="C6">
        <v>78</v>
      </c>
      <c r="D6">
        <v>54</v>
      </c>
      <c r="E6">
        <v>73</v>
      </c>
      <c r="F6">
        <v>22</v>
      </c>
      <c r="G6">
        <f>SUM(A6:F6)</f>
        <v>230</v>
      </c>
      <c r="H6" t="str">
        <f>IF(OR(D6&gt;33,E6&gt;33,F6&gt;33),"Pass","Fail")</f>
        <v>Pass</v>
      </c>
      <c r="J6">
        <v>5</v>
      </c>
      <c r="K6" t="s">
        <v>11</v>
      </c>
      <c r="L6">
        <v>29</v>
      </c>
      <c r="M6">
        <v>2</v>
      </c>
      <c r="N6" t="str">
        <f t="shared" si="0"/>
        <v>No</v>
      </c>
      <c r="O6" t="str">
        <f t="shared" si="1"/>
        <v>Yes</v>
      </c>
    </row>
    <row r="7" spans="1:15" x14ac:dyDescent="0.3">
      <c r="A7">
        <v>4</v>
      </c>
      <c r="B7" t="s">
        <v>10</v>
      </c>
      <c r="C7">
        <v>75</v>
      </c>
      <c r="D7">
        <v>35</v>
      </c>
      <c r="E7">
        <v>11</v>
      </c>
      <c r="F7">
        <v>17</v>
      </c>
      <c r="G7">
        <f>SUM(A7:F7)</f>
        <v>142</v>
      </c>
      <c r="H7" t="str">
        <f t="shared" ref="H7:H8" si="3">IF(OR(D7&gt;33,E7&gt;33,F7&gt;33),"Pass","Fail")</f>
        <v>Pass</v>
      </c>
      <c r="J7">
        <v>6</v>
      </c>
      <c r="K7" t="s">
        <v>22</v>
      </c>
      <c r="L7">
        <v>21</v>
      </c>
      <c r="M7">
        <v>2</v>
      </c>
      <c r="N7" t="str">
        <f t="shared" si="0"/>
        <v>No</v>
      </c>
      <c r="O7" t="str">
        <f t="shared" si="1"/>
        <v>Yes</v>
      </c>
    </row>
    <row r="8" spans="1:15" x14ac:dyDescent="0.3">
      <c r="A8">
        <v>5</v>
      </c>
      <c r="B8" t="s">
        <v>11</v>
      </c>
      <c r="C8">
        <v>24</v>
      </c>
      <c r="D8">
        <v>75</v>
      </c>
      <c r="E8">
        <v>88</v>
      </c>
      <c r="F8">
        <v>13</v>
      </c>
      <c r="G8">
        <f>SUM(A8:F8)</f>
        <v>205</v>
      </c>
      <c r="H8" t="str">
        <f t="shared" si="3"/>
        <v>Pass</v>
      </c>
      <c r="J8">
        <v>7</v>
      </c>
      <c r="K8" t="s">
        <v>23</v>
      </c>
      <c r="L8">
        <v>15</v>
      </c>
      <c r="M8">
        <v>1</v>
      </c>
      <c r="N8" t="str">
        <f t="shared" si="0"/>
        <v>No</v>
      </c>
      <c r="O8" t="str">
        <f t="shared" si="1"/>
        <v>No</v>
      </c>
    </row>
    <row r="9" spans="1:15" x14ac:dyDescent="0.3">
      <c r="J9">
        <v>8</v>
      </c>
      <c r="K9" t="s">
        <v>24</v>
      </c>
      <c r="L9">
        <v>30</v>
      </c>
      <c r="M9">
        <v>9</v>
      </c>
      <c r="N9" t="str">
        <f t="shared" si="0"/>
        <v>Yes</v>
      </c>
      <c r="O9" t="str">
        <f t="shared" si="1"/>
        <v>Yes</v>
      </c>
    </row>
    <row r="13" spans="1:15" x14ac:dyDescent="0.3">
      <c r="F13" t="s">
        <v>13</v>
      </c>
    </row>
    <row r="14" spans="1:15" x14ac:dyDescent="0.3">
      <c r="F14" t="s">
        <v>14</v>
      </c>
      <c r="G14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66FA-C47C-4F80-9809-BCA74381BD0A}">
  <dimension ref="A1:M14"/>
  <sheetViews>
    <sheetView zoomScale="117" zoomScaleNormal="117" workbookViewId="0">
      <selection activeCell="E8" sqref="E8"/>
    </sheetView>
  </sheetViews>
  <sheetFormatPr defaultRowHeight="14.4" x14ac:dyDescent="0.3"/>
  <cols>
    <col min="1" max="1" width="12.33203125" style="1" bestFit="1" customWidth="1"/>
    <col min="2" max="2" width="8.88671875" style="1"/>
    <col min="3" max="3" width="5.44140625" style="1" bestFit="1" customWidth="1"/>
    <col min="4" max="4" width="12.77734375" style="1" bestFit="1" customWidth="1"/>
    <col min="5" max="5" width="5" style="1" bestFit="1" customWidth="1"/>
    <col min="6" max="6" width="11.5546875" style="1" bestFit="1" customWidth="1"/>
    <col min="7" max="8" width="5" style="1" bestFit="1" customWidth="1"/>
    <col min="9" max="9" width="5.21875" style="1" bestFit="1" customWidth="1"/>
    <col min="10" max="10" width="6" style="1" bestFit="1" customWidth="1"/>
    <col min="11" max="11" width="11.5546875" bestFit="1" customWidth="1"/>
    <col min="12" max="12" width="9.77734375" bestFit="1" customWidth="1"/>
    <col min="13" max="13" width="22.33203125" bestFit="1" customWidth="1"/>
  </cols>
  <sheetData>
    <row r="1" spans="1:13" x14ac:dyDescent="0.3">
      <c r="A1" s="1" t="s">
        <v>27</v>
      </c>
      <c r="C1" s="1" t="s">
        <v>0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12</v>
      </c>
      <c r="K1" s="1" t="s">
        <v>32</v>
      </c>
      <c r="L1" s="1" t="s">
        <v>33</v>
      </c>
      <c r="M1" s="1" t="s">
        <v>34</v>
      </c>
    </row>
    <row r="2" spans="1:13" x14ac:dyDescent="0.3">
      <c r="A2" s="1" t="s">
        <v>28</v>
      </c>
      <c r="C2" s="1">
        <v>1</v>
      </c>
      <c r="D2" s="1" t="s">
        <v>7</v>
      </c>
      <c r="E2" s="1">
        <v>45</v>
      </c>
      <c r="F2" s="1">
        <v>15</v>
      </c>
      <c r="G2" s="1">
        <v>37</v>
      </c>
      <c r="H2" s="1">
        <v>85</v>
      </c>
      <c r="I2" s="1">
        <f>SUM(C2:H2)</f>
        <v>183</v>
      </c>
      <c r="J2" s="1" t="str">
        <f>IF(AND(F2&gt;=33,G2&gt;=33,H2&gt;=33),"Pass","Fail")</f>
        <v>Fail</v>
      </c>
      <c r="K2" s="2">
        <f>AVERAGE(E2:H2)</f>
        <v>45.5</v>
      </c>
      <c r="L2" t="str">
        <f>IF(K2&gt;=90,"A+",IF(K2&gt;=75,"A",IF(K2&gt;=60,"B",IF(K2&gt;=45,"C","Fail"))))</f>
        <v>C</v>
      </c>
      <c r="M2" t="str">
        <f>IF(J2="Fail", "Fail",IF(K2&gt;=90,"A+",IF(K2&gt;=75,"A",IF(K2&gt;=60,"B",IF(K2&gt;=45,"C","Fail")))))</f>
        <v>Fail</v>
      </c>
    </row>
    <row r="3" spans="1:13" x14ac:dyDescent="0.3">
      <c r="C3" s="1">
        <v>2</v>
      </c>
      <c r="D3" s="1" t="s">
        <v>8</v>
      </c>
      <c r="E3" s="1">
        <v>33</v>
      </c>
      <c r="F3" s="1">
        <v>57</v>
      </c>
      <c r="G3" s="1">
        <v>17</v>
      </c>
      <c r="H3" s="1">
        <v>46</v>
      </c>
      <c r="I3" s="1">
        <f>SUM(C3:H3)</f>
        <v>155</v>
      </c>
      <c r="J3" s="1" t="str">
        <f t="shared" ref="J3" si="0">IF(AND(F3&gt;=33,G3&gt;=33,H3&gt;=33),"Pass","Fail")</f>
        <v>Fail</v>
      </c>
      <c r="K3" s="2">
        <f t="shared" ref="K3:K6" si="1">AVERAGE(E3:H3)</f>
        <v>38.25</v>
      </c>
      <c r="L3" t="str">
        <f t="shared" ref="L3:L6" si="2">IF(K3&gt;=90,"A+",IF(K3&gt;=75,"A",IF(K3&gt;=60,"B",IF(K3&gt;=45,"C","Fail"))))</f>
        <v>Fail</v>
      </c>
      <c r="M3" t="str">
        <f>IF(J3="Fail", "Fail",IF(K3&gt;=90,"A+",IF(K3&gt;=75,"A",IF(K3&gt;=60,"B",IF(K3&gt;=45,"C","Fail")))))</f>
        <v>Fail</v>
      </c>
    </row>
    <row r="4" spans="1:13" x14ac:dyDescent="0.3">
      <c r="C4" s="1">
        <v>3</v>
      </c>
      <c r="D4" s="1" t="s">
        <v>9</v>
      </c>
      <c r="E4" s="1">
        <v>78</v>
      </c>
      <c r="F4" s="1">
        <v>54</v>
      </c>
      <c r="G4" s="1">
        <v>73</v>
      </c>
      <c r="H4" s="1">
        <v>22</v>
      </c>
      <c r="I4" s="1">
        <f>SUM(C4:H4)</f>
        <v>230</v>
      </c>
      <c r="J4" s="1" t="str">
        <f>IF(OR(F4&gt;33,G4&gt;33,H4&gt;33),"Pass","Fail")</f>
        <v>Pass</v>
      </c>
      <c r="K4" s="2">
        <f t="shared" si="1"/>
        <v>56.75</v>
      </c>
      <c r="L4" t="str">
        <f t="shared" si="2"/>
        <v>C</v>
      </c>
      <c r="M4" t="str">
        <f>IF(J4="Fail", "Fail",IF(K4&gt;=90,"A+",IF(K4&gt;=75,"A",IF(K4&gt;=60,"B",IF(K4&gt;=45,"C","Fail")))))</f>
        <v>C</v>
      </c>
    </row>
    <row r="5" spans="1:13" x14ac:dyDescent="0.3">
      <c r="C5" s="1">
        <v>4</v>
      </c>
      <c r="D5" s="1" t="s">
        <v>10</v>
      </c>
      <c r="E5" s="1">
        <v>75</v>
      </c>
      <c r="F5" s="1">
        <v>35</v>
      </c>
      <c r="G5" s="1">
        <v>11</v>
      </c>
      <c r="H5" s="1">
        <v>17</v>
      </c>
      <c r="I5" s="1">
        <f>SUM(C5:H5)</f>
        <v>142</v>
      </c>
      <c r="J5" s="1" t="str">
        <f t="shared" ref="J5:J6" si="3">IF(OR(F5&gt;33,G5&gt;33,H5&gt;33),"Pass","Fail")</f>
        <v>Pass</v>
      </c>
      <c r="K5" s="2">
        <f t="shared" si="1"/>
        <v>34.5</v>
      </c>
      <c r="L5" t="str">
        <f t="shared" si="2"/>
        <v>Fail</v>
      </c>
      <c r="M5" t="str">
        <f>IF(J5="Fail", "Fail",IF(K5&gt;=90,"A+",IF(K5&gt;=75,"A",IF(K5&gt;=60,"B",IF(K5&gt;=45,"C","Fail")))))</f>
        <v>Fail</v>
      </c>
    </row>
    <row r="6" spans="1:13" x14ac:dyDescent="0.3">
      <c r="C6" s="1">
        <v>5</v>
      </c>
      <c r="D6" s="1" t="s">
        <v>11</v>
      </c>
      <c r="E6" s="1">
        <v>24</v>
      </c>
      <c r="F6" s="1">
        <v>75</v>
      </c>
      <c r="G6" s="1">
        <v>88</v>
      </c>
      <c r="H6" s="1">
        <v>13</v>
      </c>
      <c r="I6" s="1">
        <f>SUM(C6:H6)</f>
        <v>205</v>
      </c>
      <c r="J6" s="1" t="str">
        <f t="shared" si="3"/>
        <v>Pass</v>
      </c>
      <c r="K6" s="2">
        <f t="shared" si="1"/>
        <v>50</v>
      </c>
      <c r="L6" t="str">
        <f t="shared" si="2"/>
        <v>C</v>
      </c>
      <c r="M6" t="str">
        <f>IF(J6="Fail", "Fail",IF(K6&gt;=90,"A+",IF(K6&gt;=75,"A",IF(K6&gt;=60,"B",IF(K6&gt;=45,"C","Fail")))))</f>
        <v>C</v>
      </c>
    </row>
    <row r="10" spans="1:13" x14ac:dyDescent="0.3">
      <c r="E10" s="1" t="s">
        <v>29</v>
      </c>
      <c r="F10" s="1" t="s">
        <v>32</v>
      </c>
      <c r="G10" s="1">
        <v>90</v>
      </c>
      <c r="H10" s="1" t="s">
        <v>31</v>
      </c>
    </row>
    <row r="11" spans="1:13" x14ac:dyDescent="0.3">
      <c r="E11" s="1" t="s">
        <v>30</v>
      </c>
      <c r="F11" s="1" t="s">
        <v>30</v>
      </c>
      <c r="G11" s="1">
        <v>75</v>
      </c>
      <c r="H11" s="1" t="s">
        <v>7</v>
      </c>
    </row>
    <row r="12" spans="1:13" x14ac:dyDescent="0.3">
      <c r="G12" s="1">
        <v>60</v>
      </c>
      <c r="H12" s="1" t="s">
        <v>8</v>
      </c>
    </row>
    <row r="13" spans="1:13" x14ac:dyDescent="0.3">
      <c r="G13" s="1">
        <v>45</v>
      </c>
      <c r="H13" s="1" t="s">
        <v>9</v>
      </c>
    </row>
    <row r="14" spans="1:13" x14ac:dyDescent="0.3">
      <c r="G14" s="1">
        <v>35</v>
      </c>
      <c r="H14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CE03-5D59-4799-86AB-3F4531F2F912}">
  <dimension ref="A1:L7"/>
  <sheetViews>
    <sheetView tabSelected="1" topLeftCell="I1" zoomScale="119" zoomScaleNormal="119" workbookViewId="0">
      <selection activeCell="K11" sqref="K11"/>
    </sheetView>
  </sheetViews>
  <sheetFormatPr defaultRowHeight="14.4" x14ac:dyDescent="0.3"/>
  <cols>
    <col min="1" max="1" width="13.6640625" bestFit="1" customWidth="1"/>
    <col min="2" max="2" width="5.88671875" bestFit="1" customWidth="1"/>
    <col min="3" max="3" width="8.6640625" bestFit="1" customWidth="1"/>
    <col min="4" max="4" width="12.5546875" bestFit="1" customWidth="1"/>
    <col min="5" max="5" width="9.33203125" bestFit="1" customWidth="1"/>
    <col min="6" max="6" width="16.21875" bestFit="1" customWidth="1"/>
    <col min="8" max="8" width="21.109375" bestFit="1" customWidth="1"/>
    <col min="9" max="9" width="4.44140625" bestFit="1" customWidth="1"/>
  </cols>
  <sheetData>
    <row r="1" spans="1:12" x14ac:dyDescent="0.3">
      <c r="A1" t="s">
        <v>35</v>
      </c>
      <c r="B1" t="s">
        <v>36</v>
      </c>
      <c r="C1" t="s">
        <v>37</v>
      </c>
      <c r="D1" t="s">
        <v>44</v>
      </c>
      <c r="E1" t="s">
        <v>45</v>
      </c>
      <c r="F1" t="s">
        <v>50</v>
      </c>
      <c r="H1" t="s">
        <v>46</v>
      </c>
      <c r="K1" t="s">
        <v>51</v>
      </c>
      <c r="L1" t="s">
        <v>52</v>
      </c>
    </row>
    <row r="2" spans="1:12" x14ac:dyDescent="0.3">
      <c r="B2">
        <v>1</v>
      </c>
      <c r="C2" t="s">
        <v>38</v>
      </c>
      <c r="D2">
        <v>1</v>
      </c>
      <c r="E2" s="4" cm="1">
        <f t="array" ref="E2">_xlfn.IFS(D2&gt;=10,20%,D2&gt;=5,10%,D2&lt;5,0)</f>
        <v>0</v>
      </c>
      <c r="F2" t="str" cm="1">
        <f t="array" ref="F2">_xlfn.IFS(E2&gt;=20%,"Excellent discount",E2&gt;=10%,"Good discount",E2&lt;10%,"No discount")</f>
        <v>No discount</v>
      </c>
      <c r="H2" t="s">
        <v>47</v>
      </c>
      <c r="I2" s="3">
        <v>0.2</v>
      </c>
      <c r="K2">
        <f ca="1">RANDBETWEEN(1,5)</f>
        <v>1</v>
      </c>
      <c r="L2" t="str" cm="1">
        <f t="array" aca="1" ref="L2" ca="1">_xlfn.IFS(K2&gt;=5,"Excellent",K2&gt;=4,"Very Good", K2 &gt;= 3,"Average",K2&gt;=2,"Not good",K2&gt;=1,"poor")</f>
        <v>poor</v>
      </c>
    </row>
    <row r="3" spans="1:12" x14ac:dyDescent="0.3">
      <c r="B3">
        <v>2</v>
      </c>
      <c r="C3" t="s">
        <v>39</v>
      </c>
      <c r="D3">
        <v>11</v>
      </c>
      <c r="E3" s="4" cm="1">
        <f t="array" ref="E3">_xlfn.IFS(D3&gt;=10,20%,D3&gt;=5,10%,D3&lt;5,0)</f>
        <v>0.2</v>
      </c>
      <c r="F3" t="str" cm="1">
        <f t="array" ref="F3">_xlfn.IFS(E3&gt;=20%,"Excellent discount",E3&gt;=10%,"Good discount",E3&lt;10%,"No discount")</f>
        <v>Excellent discount</v>
      </c>
      <c r="H3" t="s">
        <v>48</v>
      </c>
      <c r="I3" s="3">
        <v>0.1</v>
      </c>
      <c r="K3">
        <f t="shared" ref="K3:K7" ca="1" si="0">RANDBETWEEN(1,5)</f>
        <v>2</v>
      </c>
      <c r="L3" t="str" cm="1">
        <f t="array" aca="1" ref="L3" ca="1">_xlfn.IFS(K3&gt;=5,"Excellent",K3&gt;=4,"Very Good", K3 &gt;= 3,"Average",K3&gt;=2,"Not good",K3&gt;=1,"poor")</f>
        <v>Not good</v>
      </c>
    </row>
    <row r="4" spans="1:12" x14ac:dyDescent="0.3">
      <c r="B4">
        <v>3</v>
      </c>
      <c r="C4" t="s">
        <v>40</v>
      </c>
      <c r="D4">
        <v>17</v>
      </c>
      <c r="E4" s="4" cm="1">
        <f t="array" ref="E4">_xlfn.IFS(D4&gt;=10,20%,D4&gt;=5,10%,D4&lt;5,0)</f>
        <v>0.2</v>
      </c>
      <c r="F4" t="str" cm="1">
        <f t="array" ref="F4">_xlfn.IFS(E4&gt;=20%,"Excellent discount",E4&gt;=10%,"Good discount",E4&lt;10%,"No discount")</f>
        <v>Excellent discount</v>
      </c>
      <c r="H4" t="s">
        <v>49</v>
      </c>
      <c r="I4" s="3">
        <v>0</v>
      </c>
      <c r="K4">
        <f t="shared" ca="1" si="0"/>
        <v>4</v>
      </c>
      <c r="L4" t="str" cm="1">
        <f t="array" aca="1" ref="L4" ca="1">_xlfn.IFS(K4&gt;=5,"Excellent",K4&gt;=4,"Very Good", K4 &gt;= 3,"Average",K4&gt;=2,"Not good",K4&gt;=1,"poor")</f>
        <v>Very Good</v>
      </c>
    </row>
    <row r="5" spans="1:12" x14ac:dyDescent="0.3">
      <c r="B5">
        <v>4</v>
      </c>
      <c r="C5" t="s">
        <v>41</v>
      </c>
      <c r="D5">
        <v>8</v>
      </c>
      <c r="E5" s="4" cm="1">
        <f t="array" ref="E5">_xlfn.IFS(D5&gt;=10,20%,D5&gt;=5,10%,D5&lt;5,0)</f>
        <v>0.1</v>
      </c>
      <c r="F5" t="str" cm="1">
        <f t="array" ref="F5">_xlfn.IFS(E5&gt;=20%,"Excellent discount",E5&gt;=10%,"Good discount",E5&lt;10%,"No discount")</f>
        <v>Good discount</v>
      </c>
      <c r="K5">
        <f t="shared" ca="1" si="0"/>
        <v>1</v>
      </c>
      <c r="L5" t="str" cm="1">
        <f t="array" aca="1" ref="L5" ca="1">_xlfn.IFS(K5&gt;=5,"Excellent",K5&gt;=4,"Very Good", K5 &gt;= 3,"Average",K5&gt;=2,"Not good",K5&gt;=1,"poor")</f>
        <v>poor</v>
      </c>
    </row>
    <row r="6" spans="1:12" x14ac:dyDescent="0.3">
      <c r="B6">
        <v>5</v>
      </c>
      <c r="C6" t="s">
        <v>42</v>
      </c>
      <c r="D6">
        <v>15</v>
      </c>
      <c r="E6" s="4" cm="1">
        <f t="array" ref="E6">_xlfn.IFS(D6&gt;=10,20%,D6&gt;=5,10%,D6&lt;5,0)</f>
        <v>0.2</v>
      </c>
      <c r="F6" t="str" cm="1">
        <f t="array" ref="F6">_xlfn.IFS(E6&gt;=20%,"Excellent discount",E6&gt;=10%,"Good discount",E6&lt;10%,"No discount")</f>
        <v>Excellent discount</v>
      </c>
      <c r="K6">
        <f t="shared" ca="1" si="0"/>
        <v>4</v>
      </c>
      <c r="L6" t="str" cm="1">
        <f t="array" aca="1" ref="L6" ca="1">_xlfn.IFS(K6&gt;=5,"Excellent",K6&gt;=4,"Very Good", K6 &gt;= 3,"Average",K6&gt;=2,"Not good",K6&gt;=1,"poor")</f>
        <v>Very Good</v>
      </c>
    </row>
    <row r="7" spans="1:12" x14ac:dyDescent="0.3">
      <c r="B7">
        <v>6</v>
      </c>
      <c r="C7" t="s">
        <v>43</v>
      </c>
      <c r="D7">
        <v>10</v>
      </c>
      <c r="E7" s="4" cm="1">
        <f t="array" ref="E7">_xlfn.IFS(D7&gt;=10,20%,D7&gt;=5,10%,D7&lt;5,0)</f>
        <v>0.2</v>
      </c>
      <c r="F7" t="str" cm="1">
        <f t="array" ref="F7">_xlfn.IFS(E7&gt;=20%,"Excellent discount",E7&gt;=10%,"Good discount",E7&lt;10%,"No discount")</f>
        <v>Excellent discount</v>
      </c>
      <c r="K7">
        <f t="shared" ca="1" si="0"/>
        <v>1</v>
      </c>
      <c r="L7" t="str" cm="1">
        <f t="array" aca="1" ref="L7" ca="1">_xlfn.IFS(K7&gt;=5,"Excellent",K7&gt;=4,"Very Good", K7 &gt;= 3,"Average",K7&gt;=2,"Not good",K7&gt;=1,"poor")</f>
        <v>poor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2026-06-15T13:23:08Z</dcterms:created>
  <dcterms:modified xsi:type="dcterms:W3CDTF">2026-06-16T16:30:13Z</dcterms:modified>
</cp:coreProperties>
</file>